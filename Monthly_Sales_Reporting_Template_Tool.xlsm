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mc:AlternateContent xmlns:mc="http://schemas.openxmlformats.org/markup-compatibility/2006">
    <mc:Choice Requires="x15">
      <x15ac:absPath xmlns:x15ac="http://schemas.microsoft.com/office/spreadsheetml/2010/11/ac" url="C:\Users\Meeno\Desktop\VBA\Project 2 - Sales Regional Reporting Tool\"/>
    </mc:Choice>
  </mc:AlternateContent>
  <xr:revisionPtr revIDLastSave="0" documentId="13_ncr:1_{D0591F33-1974-4476-B051-709EE973E3A0}" xr6:coauthVersionLast="47" xr6:coauthVersionMax="47" xr10:uidLastSave="{00000000-0000-0000-0000-000000000000}"/>
  <bookViews>
    <workbookView xWindow="-108" yWindow="-108" windowWidth="23256" windowHeight="12576" tabRatio="660" activeTab="1" xr2:uid="{00000000-000D-0000-FFFF-FFFF00000000}"/>
  </bookViews>
  <sheets>
    <sheet name="Instructions" sheetId="11" r:id="rId1"/>
    <sheet name="Start" sheetId="6" r:id="rId2"/>
    <sheet name="Workings" sheetId="7" r:id="rId3"/>
    <sheet name="NewData" sheetId="4" r:id="rId4"/>
    <sheet name="Mapping" sheetId="2" r:id="rId5"/>
  </sheets>
  <definedNames>
    <definedName name="MRegion">Mapping!$G$9:$G$10</definedName>
    <definedName name="period">Workings!$U$1</definedName>
    <definedName name="Slicer_Company_Name">#N/A</definedName>
  </definedNames>
  <calcPr calcId="181029"/>
  <pivotCaches>
    <pivotCache cacheId="137"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M3"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U1" i="7"/>
  <c r="L2" i="7"/>
  <c r="M2" i="7" s="1"/>
  <c r="K2" i="7"/>
  <c r="J2" i="7"/>
  <c r="I2" i="7"/>
</calcChain>
</file>

<file path=xl/sharedStrings.xml><?xml version="1.0" encoding="utf-8"?>
<sst xmlns="http://schemas.openxmlformats.org/spreadsheetml/2006/main" count="465" uniqueCount="126">
  <si>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</si>
  <si>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</si>
  <si>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</si>
  <si>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</si>
  <si>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</si>
  <si>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</si>
  <si>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</si>
  <si>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</si>
  <si>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</si>
  <si>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</si>
  <si>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</si>
  <si>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</si>
  <si>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</si>
  <si>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</si>
  <si>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</si>
  <si>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</si>
  <si>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</si>
  <si>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</si>
  <si>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</si>
  <si>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</si>
  <si>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</si>
  <si>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</si>
  <si>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</si>
  <si>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</si>
  <si>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</si>
  <si>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</si>
  <si>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</si>
  <si>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</si>
  <si>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</si>
  <si>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</si>
  <si>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</si>
  <si>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</si>
  <si>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</si>
  <si>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</si>
  <si>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</si>
  <si>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</si>
  <si>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</si>
  <si>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</si>
  <si>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</si>
  <si>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</si>
  <si>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</si>
  <si>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</si>
  <si>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</si>
  <si>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</si>
  <si>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Customer Name</t>
  </si>
  <si>
    <t>Dellicia</t>
  </si>
  <si>
    <t>Meta Creations</t>
  </si>
  <si>
    <t>Erma</t>
  </si>
  <si>
    <t>Edson</t>
  </si>
  <si>
    <t>Customer code</t>
  </si>
  <si>
    <t>Company code</t>
  </si>
  <si>
    <t>EUR to $</t>
  </si>
  <si>
    <t>Article code</t>
  </si>
  <si>
    <t>Region</t>
  </si>
  <si>
    <t>America</t>
  </si>
  <si>
    <t>Europe</t>
  </si>
  <si>
    <t>Aim of the tool</t>
  </si>
  <si>
    <t>Your Challenge</t>
  </si>
  <si>
    <t>Regions</t>
  </si>
  <si>
    <t>Werner Strauss</t>
  </si>
  <si>
    <t>Aida GmbH</t>
  </si>
  <si>
    <t>Liebher</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</si>
  <si>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</si>
  <si>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</si>
  <si>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</si>
  <si>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6. You need to split each region to it's own file. European Regional managers should not see the US data</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</si>
  <si>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</si>
  <si>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</si>
  <si>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</si>
  <si>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</si>
  <si>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</si>
  <si>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</si>
  <si>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</si>
  <si>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</si>
  <si>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</si>
  <si>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</si>
  <si>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</si>
  <si>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</si>
  <si>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</si>
  <si>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</si>
  <si>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</si>
  <si>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</si>
  <si>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</si>
  <si>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</si>
  <si>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</si>
  <si>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r>
      <t>Time savings:</t>
    </r>
    <r>
      <rPr>
        <sz val="11"/>
        <color rgb="FF92D050"/>
        <rFont val="Arial"/>
        <family val="2"/>
        <scheme val="minor"/>
      </rPr>
      <t xml:space="preserve"> 4 plus hours</t>
    </r>
  </si>
  <si>
    <t>All of this will cost you a lot of time if done manually (possibly around 4 hours - plus data changes are not uncommon)</t>
  </si>
  <si>
    <t>Sometimes you have to repeat the whole process because wrong data was sent;</t>
  </si>
  <si>
    <t xml:space="preserve"> </t>
  </si>
  <si>
    <t/>
  </si>
  <si>
    <t>Please select a region from the dropdown box below</t>
  </si>
  <si>
    <t>Sales Local Currency</t>
  </si>
  <si>
    <t>Article Description</t>
  </si>
  <si>
    <t>Sales US Dollar</t>
  </si>
  <si>
    <t>Regional Sales by Customer</t>
  </si>
  <si>
    <t>Row Labels</t>
  </si>
  <si>
    <t>Grand Total</t>
  </si>
  <si>
    <t>Customer</t>
  </si>
  <si>
    <t>$ Sales</t>
  </si>
  <si>
    <t>Article Overview by Company</t>
  </si>
  <si>
    <t>Article</t>
  </si>
  <si>
    <t xml:space="preserve"> Quantity</t>
  </si>
  <si>
    <t xml:space="preserve"> Reject</t>
  </si>
  <si>
    <t>Regional Overview</t>
  </si>
  <si>
    <t xml:space="preserve"> Reject %</t>
  </si>
  <si>
    <t xml:space="preserve"> Sales US Dollar</t>
  </si>
  <si>
    <t>Aida GmbH Total</t>
  </si>
  <si>
    <t>Edson Total</t>
  </si>
  <si>
    <t>Werner Strauss Total</t>
  </si>
  <si>
    <t>Bere Kleid Total</t>
  </si>
  <si>
    <t>Liebher Total</t>
  </si>
  <si>
    <t>Lucas Basics Total</t>
  </si>
  <si>
    <t>Sum of Sales US Dollar</t>
  </si>
  <si>
    <t>Data Imported for: 1030AT, 1040DE, 1020US, 1010US</t>
  </si>
  <si>
    <t>Task 1: Import data from separate sales reports</t>
  </si>
  <si>
    <t>Task 2: Update all tables on 'Workings' tab</t>
  </si>
  <si>
    <t>Task 3: Save as Regional Manager Report and Top Management Report</t>
  </si>
  <si>
    <t>Task 4: Extract all data in CSV format (with custom delimiter) to be loaded to central ERP system</t>
  </si>
  <si>
    <t>Task Completed</t>
  </si>
  <si>
    <t>Admin Tools</t>
  </si>
  <si>
    <t>CompanyID</t>
  </si>
  <si>
    <t>New data imported on 3:04:19 PM 26/05/2023</t>
  </si>
  <si>
    <t>Reports updated on 3:04:22 PM 26/05/2023</t>
  </si>
  <si>
    <t>Regional Report for Europe 201810 created on 3:04:25 PM 26/05/2023</t>
  </si>
  <si>
    <t>Regional Overview Report for Top Management - Europe 201810 created on 3:04:28 PM 26/05/2023</t>
  </si>
  <si>
    <t>CSV for the period 201810 created on 3:04:33 PM 26/05/2023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</si>
</sst>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1" formatCode="_-* #,##0_-;\-* #,##0_-;_-* &quot;-&quot;_-;_-@_-"/>
    <numFmt numFmtId="164" formatCode="&quot;$&quot;#,##0"/>
    <numFmt numFmtId="165" formatCode="0.0%"/>
  </numFmts>
  <fonts count="17"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
      <b/>
      <sz val="11"/>
      <color theme="1"/>
      <name val="Arial"/>
      <family val="2"/>
      <scheme val="minor"/>
    </font>
    <font>
      <sz val="10"/>
      <color theme="1"/>
      <name val="Arial"/>
      <family val="2"/>
    </font>
    <font>
      <b/>
      <sz val="11"/>
      <color indexed="9"/>
      <name val="Arial"/>
      <family val="2"/>
      <scheme val="minor"/>
    </font>
    <font>
      <i/>
      <sz val="10"/>
      <color theme="1"/>
      <name val="Arial"/>
      <family val="2"/>
      <scheme val="minor"/>
    </font>
    <font>
      <sz val="10"/>
      <color theme="0"/>
      <name val="Arial"/>
      <family val="2"/>
      <scheme val="minor"/>
    </font>
    <font>
      <b/>
      <sz val="10"/>
      <color theme="0"/>
      <name val="Arial"/>
      <family val="2"/>
      <scheme val="minor"/>
    </font>
    <font>
      <sz val="10"/>
      <color rgb="FF000000"/>
      <name val="Arial"/>
      <family val="2"/>
    </font>
  </fonts>
  <fills count="10">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1" tint="0.34998626667073579"/>
        <bgColor indexed="64"/>
      </patternFill>
    </fill>
    <fill>
      <patternFill patternType="solid">
        <fgColor theme="0"/>
        <bgColor indexed="64"/>
      </patternFill>
    </fill>
    <fill>
      <patternFill patternType="solid">
        <fgColor rgb="FF1F497D"/>
        <bgColor indexed="64"/>
      </patternFill>
    </fill>
    <fill>
      <patternFill patternType="solid">
        <fgColor theme="2" tint="-0.499984740745262"/>
        <bgColor indexed="64"/>
      </patternFill>
    </fill>
    <fill>
      <patternFill patternType="solid">
        <fgColor theme="4" tint="-0.249977111117893"/>
        <bgColor indexed="64"/>
      </patternFill>
    </fill>
  </fills>
  <borders count="8">
    <border>
      <left/>
      <right/>
      <top/>
      <bottom/>
      <diagonal/>
    </border>
    <border>
      <left/>
      <right/>
      <top/>
      <bottom style="thin">
        <color indexed="64"/>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
      <left style="thin">
        <color theme="0" tint="-0.24994659260841701"/>
      </left>
      <right/>
      <top/>
      <bottom/>
      <diagonal/>
    </border>
    <border>
      <left/>
      <right/>
      <top/>
      <bottom style="thin">
        <color theme="1"/>
      </bottom>
      <diagonal/>
    </border>
  </borders>
  <cellStyleXfs count="1">
    <xf numFmtId="0" fontId="0" fillId="0" borderId="0"/>
  </cellStyleXfs>
  <cellXfs count="66">
    <xf numFmtId="0" fontId="0" fillId="0" borderId="0" xfId="0"/>
    <xf numFmtId="0" fontId="3" fillId="0" borderId="0" xfId="0" applyFont="1"/>
    <xf numFmtId="0" fontId="0" fillId="2" borderId="0" xfId="0" applyFill="1"/>
    <xf numFmtId="0" fontId="4" fillId="2" borderId="0" xfId="0" applyFont="1" applyFill="1"/>
    <xf numFmtId="0" fontId="0" fillId="0" borderId="1" xfId="0" applyBorder="1"/>
    <xf numFmtId="49" fontId="5" fillId="3" borderId="0" xfId="0" applyNumberFormat="1" applyFont="1" applyFill="1" applyAlignment="1">
      <alignment horizontal="left" vertical="center" wrapText="1"/>
    </xf>
    <xf numFmtId="0" fontId="4" fillId="4" borderId="2" xfId="0" applyFont="1" applyFill="1" applyBorder="1" applyAlignment="1" applyProtection="1">
      <alignment horizontal="center" vertical="center" wrapText="1"/>
      <protection locked="0"/>
    </xf>
    <xf numFmtId="0" fontId="0" fillId="5" borderId="0" xfId="0" applyFill="1"/>
    <xf numFmtId="0" fontId="0" fillId="6" borderId="2" xfId="0" applyFill="1" applyBorder="1"/>
    <xf numFmtId="0" fontId="7" fillId="6" borderId="3" xfId="0" quotePrefix="1" applyFont="1" applyFill="1" applyBorder="1"/>
    <xf numFmtId="0" fontId="7" fillId="6" borderId="3" xfId="0" applyFont="1" applyFill="1" applyBorder="1"/>
    <xf numFmtId="0" fontId="0" fillId="6" borderId="3" xfId="0" applyFill="1" applyBorder="1"/>
    <xf numFmtId="0" fontId="0" fillId="6" borderId="0" xfId="0" applyFill="1"/>
    <xf numFmtId="0" fontId="0" fillId="6" borderId="4" xfId="0" applyFill="1" applyBorder="1"/>
    <xf numFmtId="0" fontId="0" fillId="6" borderId="2" xfId="0" quotePrefix="1" applyFill="1" applyBorder="1"/>
    <xf numFmtId="0" fontId="0" fillId="6" borderId="3" xfId="0" quotePrefix="1" applyFill="1" applyBorder="1"/>
    <xf numFmtId="0" fontId="0" fillId="6" borderId="5" xfId="0" applyFill="1" applyBorder="1"/>
    <xf numFmtId="0" fontId="0" fillId="6" borderId="3" xfId="0" applyFill="1" applyBorder="1" applyAlignment="1">
      <alignment horizontal="left" indent="1"/>
    </xf>
    <xf numFmtId="0" fontId="0" fillId="6" borderId="3" xfId="0" applyFill="1" applyBorder="1" applyAlignment="1">
      <alignment horizontal="left" indent="2"/>
    </xf>
    <xf numFmtId="0" fontId="8" fillId="6" borderId="3" xfId="0" applyFont="1" applyFill="1" applyBorder="1"/>
    <xf numFmtId="0" fontId="2" fillId="6" borderId="3" xfId="0" applyFont="1" applyFill="1" applyBorder="1"/>
    <xf numFmtId="0" fontId="1" fillId="6" borderId="3" xfId="0" applyFont="1" applyFill="1" applyBorder="1"/>
    <xf numFmtId="0" fontId="0" fillId="0" borderId="0" xfId="0" applyAlignment="1">
      <alignment horizontal="center" vertical="center"/>
    </xf>
    <xf numFmtId="0" fontId="12" fillId="7" borderId="0" xfId="0" applyFont="1" applyFill="1" applyAlignment="1">
      <alignment horizontal="center" vertical="center" wrapText="1"/>
    </xf>
    <xf numFmtId="0" fontId="12" fillId="7" borderId="0" xfId="0" applyFont="1" applyFill="1" applyAlignment="1">
      <alignment horizontal="left" vertical="center" wrapText="1"/>
    </xf>
    <xf numFmtId="0" fontId="12" fillId="7" borderId="0" xfId="0" applyFont="1" applyFill="1" applyAlignment="1">
      <alignment horizontal="right" vertical="center" wrapText="1"/>
    </xf>
    <xf numFmtId="0" fontId="11" fillId="0" borderId="2" xfId="0" applyFont="1" applyBorder="1"/>
    <xf numFmtId="14" fontId="11" fillId="0" borderId="2" xfId="0" applyNumberFormat="1" applyFont="1" applyBorder="1" applyAlignment="1">
      <alignment horizontal="center"/>
    </xf>
    <xf numFmtId="0" fontId="6" fillId="0" borderId="2" xfId="0" applyFont="1" applyBorder="1"/>
    <xf numFmtId="0" fontId="6" fillId="0" borderId="2" xfId="0" applyFont="1" applyBorder="1" applyAlignment="1">
      <alignment horizontal="right"/>
    </xf>
    <xf numFmtId="0" fontId="6" fillId="0" borderId="3" xfId="0" applyFont="1" applyBorder="1" applyAlignment="1">
      <alignment horizontal="right"/>
    </xf>
    <xf numFmtId="0" fontId="11" fillId="0" borderId="3" xfId="0" applyFont="1" applyBorder="1"/>
    <xf numFmtId="0" fontId="6" fillId="0" borderId="3" xfId="0" applyFont="1" applyBorder="1"/>
    <xf numFmtId="0" fontId="6" fillId="0" borderId="0" xfId="0" applyFont="1" applyAlignment="1">
      <alignment horizontal="right"/>
    </xf>
    <xf numFmtId="14" fontId="0" fillId="0" borderId="0" xfId="0" applyNumberFormat="1"/>
    <xf numFmtId="0" fontId="13" fillId="0" borderId="0" xfId="0" applyFont="1"/>
    <xf numFmtId="0" fontId="10" fillId="0" borderId="0" xfId="0" applyFont="1"/>
    <xf numFmtId="0" fontId="4" fillId="8" borderId="0" xfId="0" applyFont="1" applyFill="1" applyAlignment="1">
      <alignment horizontal="center" vertical="center" wrapText="1"/>
    </xf>
    <xf numFmtId="0" fontId="0" fillId="9" borderId="0" xfId="0" applyFill="1"/>
    <xf numFmtId="0" fontId="15" fillId="9" borderId="0" xfId="0" applyFont="1" applyFill="1" applyAlignment="1">
      <alignment horizontal="left" vertical="center"/>
    </xf>
    <xf numFmtId="0" fontId="15" fillId="9" borderId="0" xfId="0" applyFont="1" applyFill="1"/>
    <xf numFmtId="0" fontId="0" fillId="0" borderId="0" xfId="0" pivotButton="1"/>
    <xf numFmtId="0" fontId="0" fillId="0" borderId="0" xfId="0" applyAlignment="1">
      <alignment horizontal="left"/>
    </xf>
    <xf numFmtId="0" fontId="0" fillId="0" borderId="0" xfId="0" applyAlignment="1">
      <alignment horizontal="right"/>
    </xf>
    <xf numFmtId="9" fontId="0" fillId="0" borderId="0" xfId="0" applyNumberFormat="1"/>
    <xf numFmtId="164" fontId="0" fillId="0" borderId="0" xfId="0" applyNumberFormat="1"/>
    <xf numFmtId="0" fontId="0" fillId="0" borderId="6" xfId="0" applyBorder="1"/>
    <xf numFmtId="0" fontId="0" fillId="0" borderId="0" xfId="0" applyAlignment="1">
      <alignment horizontal="left" indent="1"/>
    </xf>
    <xf numFmtId="41" fontId="0" fillId="0" borderId="0" xfId="0" applyNumberFormat="1"/>
    <xf numFmtId="1" fontId="0" fillId="0" borderId="0" xfId="0" applyNumberFormat="1"/>
    <xf numFmtId="165" fontId="0" fillId="0" borderId="0" xfId="0" applyNumberFormat="1"/>
    <xf numFmtId="0" fontId="14" fillId="9" borderId="0" xfId="0" applyFont="1" applyFill="1"/>
    <xf numFmtId="0" fontId="0" fillId="0" borderId="0" xfId="0" applyAlignment="1">
      <alignment horizontal="left" indent="2"/>
    </xf>
    <xf numFmtId="0" fontId="10" fillId="0" borderId="7" xfId="0" applyFont="1" applyBorder="1"/>
    <xf numFmtId="0" fontId="0" fillId="0" borderId="7" xfId="0" applyBorder="1"/>
    <xf numFmtId="0" fontId="0" fillId="6" borderId="3" xfId="0" applyFill="1" applyBorder="1" applyAlignment="1">
      <alignment horizontal="left"/>
    </xf>
    <xf numFmtId="0" fontId="0" fillId="0" borderId="0" xfId="0" applyFont="1"/>
    <xf numFmtId="0" fontId="0" fillId="0" borderId="0" xfId="0" applyNumberFormat="1"/>
    <xf numFmtId="0" fontId="0" fillId="0" borderId="0" xfId="0" pivotButton="1" applyFont="1"/>
    <xf numFmtId="0" fontId="0" fillId="0" borderId="0" xfId="0" applyFont="1" applyAlignment="1">
      <alignment horizontal="right"/>
    </xf>
    <xf numFmtId="41" fontId="0" fillId="0" borderId="0" xfId="0" applyNumberFormat="1" applyBorder="1"/>
    <xf numFmtId="1" fontId="0" fillId="0" borderId="0" xfId="0" applyNumberFormat="1" applyBorder="1"/>
    <xf numFmtId="0" fontId="0" fillId="0" borderId="0" xfId="0" applyBorder="1" applyAlignment="1">
      <alignment horizontal="left"/>
    </xf>
    <xf numFmtId="164" fontId="0" fillId="0" borderId="0" xfId="0" applyNumberFormat="1" applyBorder="1"/>
    <xf numFmtId="9" fontId="0" fillId="0" borderId="0" xfId="0" applyNumberFormat="1" applyBorder="1"/>
    <xf numFmtId="14" fontId="15" fillId="9" borderId="0" xfId="0" applyNumberFormat="1" applyFont="1" applyFill="1" applyAlignment="1">
      <alignment horizontal="center" vertical="center"/>
    </xf>
  </cellXfs>
  <cellStyles count="1">
    <cellStyle name="Normal" xfId="0" builtinId="0" customBuiltin="1"/>
  </cellStyles>
  <dxfs count="62">
    <dxf>
      <numFmt numFmtId="19" formatCode="d/mm/yyyy"/>
    </dxf>
    <dxf>
      <font>
        <b/>
        <i val="0"/>
        <strike val="0"/>
        <condense val="0"/>
        <extend val="0"/>
        <outline val="0"/>
        <shadow val="0"/>
        <u val="none"/>
        <vertAlign val="baseline"/>
        <sz val="11"/>
        <color indexed="9"/>
        <name val="Arial"/>
        <family val="2"/>
        <scheme val="minor"/>
      </font>
      <fill>
        <patternFill patternType="solid">
          <fgColor indexed="64"/>
          <bgColor rgb="FF1F497D"/>
        </patternFill>
      </fill>
      <alignment horizontal="right" vertical="center" textRotation="0" wrapText="1" indent="0" justifyLastLine="0" shrinkToFit="0" readingOrder="0"/>
    </dxf>
    <dxf>
      <font>
        <b val="0"/>
        <i val="0"/>
        <strike val="0"/>
        <condense val="0"/>
        <extend val="0"/>
        <outline val="0"/>
        <shadow val="0"/>
        <u val="none"/>
        <vertAlign val="baseline"/>
        <sz val="10"/>
        <color theme="1"/>
        <name val="Arial"/>
        <family val="2"/>
        <scheme val="minor"/>
      </font>
      <alignment horizontal="right" vertical="bottom" textRotation="0" wrapText="0"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0"/>
        <color theme="1"/>
        <name val="Arial"/>
        <family val="2"/>
        <scheme val="minor"/>
      </font>
      <alignment horizontal="right"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0"/>
        <color theme="1"/>
        <name val="Arial"/>
        <family val="2"/>
        <scheme val="minor"/>
      </font>
      <alignment horizontal="right"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0"/>
        <color theme="1"/>
        <name val="Arial"/>
        <family val="2"/>
        <scheme val="minor"/>
      </font>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0"/>
        <color theme="1"/>
        <name val="Arial"/>
        <family val="2"/>
        <scheme val="minor"/>
      </font>
      <border diagonalUp="0" diagonalDown="0">
        <left/>
        <right/>
        <top/>
        <bottom style="thin">
          <color theme="0" tint="-0.14996795556505021"/>
        </bottom>
        <vertical/>
        <horizontal/>
      </border>
    </dxf>
    <dxf>
      <font>
        <b val="0"/>
        <i val="0"/>
        <strike val="0"/>
        <condense val="0"/>
        <extend val="0"/>
        <outline val="0"/>
        <shadow val="0"/>
        <u val="none"/>
        <vertAlign val="baseline"/>
        <sz val="10"/>
        <color theme="1"/>
        <name val="Arial"/>
        <family val="2"/>
        <scheme val="none"/>
      </font>
      <numFmt numFmtId="19" formatCode="d/mm/yyyy"/>
      <alignment horizontal="center" vertical="bottom" textRotation="0" wrapText="0"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0"/>
        <color theme="1"/>
        <name val="Arial"/>
        <family val="2"/>
        <scheme val="none"/>
      </font>
      <border diagonalUp="0" diagonalDown="0">
        <left/>
        <right/>
        <top style="thin">
          <color theme="0" tint="-0.14996795556505021"/>
        </top>
        <bottom style="thin">
          <color theme="0" tint="-0.14996795556505021"/>
        </bottom>
        <vertical/>
        <horizontal/>
      </border>
    </dxf>
    <dxf>
      <numFmt numFmtId="0" formatCode="General"/>
    </dxf>
    <dxf>
      <numFmt numFmtId="0" formatCode="General"/>
    </dxf>
    <dxf>
      <font>
        <b val="0"/>
      </font>
    </dxf>
    <dxf>
      <numFmt numFmtId="165" formatCode="0.0%"/>
    </dxf>
    <dxf>
      <alignment horizontal="right"/>
    </dxf>
    <dxf>
      <font>
        <b val="0"/>
      </font>
    </dxf>
    <dxf>
      <alignment horizontal="right"/>
    </dxf>
    <dxf>
      <alignment horizontal="right"/>
    </dxf>
    <dxf>
      <numFmt numFmtId="33" formatCode="_-* #,##0_-;\-* #,##0_-;_-* &quot;-&quot;_-;_-@_-"/>
    </dxf>
    <dxf>
      <font>
        <b val="0"/>
        <i val="0"/>
        <strike val="0"/>
        <condense val="0"/>
        <extend val="0"/>
        <outline val="0"/>
        <shadow val="0"/>
        <u val="none"/>
        <vertAlign val="baseline"/>
        <sz val="8"/>
        <color theme="1"/>
        <name val="Arial"/>
        <family val="2"/>
        <scheme val="none"/>
      </font>
    </dxf>
    <dxf>
      <border outline="0">
        <bottom style="medium">
          <color indexed="64"/>
        </bottom>
      </border>
    </dxf>
    <dxf>
      <numFmt numFmtId="0" formatCode="General"/>
    </dxf>
    <dxf>
      <numFmt numFmtId="0" formatCode="General"/>
    </dxf>
    <dxf>
      <numFmt numFmtId="0" formatCode="General"/>
    </dxf>
    <dxf>
      <font>
        <b/>
        <i val="0"/>
        <strike val="0"/>
        <condense val="0"/>
        <extend val="0"/>
        <outline val="0"/>
        <shadow val="0"/>
        <u val="none"/>
        <vertAlign val="baseline"/>
        <sz val="11"/>
        <color theme="0"/>
        <name val="Arial"/>
        <family val="2"/>
        <scheme val="minor"/>
      </font>
      <fill>
        <patternFill patternType="solid">
          <fgColor indexed="64"/>
          <bgColor theme="2" tint="-0.499984740745262"/>
        </patternFill>
      </fill>
      <alignment horizontal="center" vertical="center" textRotation="0" wrapText="1" indent="0" justifyLastLine="0" shrinkToFit="0" readingOrder="0"/>
    </dxf>
    <dxf>
      <numFmt numFmtId="1" formatCode="0"/>
    </dxf>
    <dxf>
      <numFmt numFmtId="33" formatCode="_-* #,##0_-;\-* #,##0_-;_-* &quot;-&quot;_-;_-@_-"/>
    </dxf>
    <dxf>
      <border>
        <top/>
        <bottom/>
        <horizontal/>
      </border>
    </dxf>
    <dxf>
      <border>
        <top/>
        <bottom/>
        <horizontal/>
      </border>
    </dxf>
    <dxf>
      <border>
        <bottom style="thin">
          <color theme="0" tint="-0.24994659260841701"/>
        </bottom>
      </border>
    </dxf>
    <dxf>
      <border>
        <bottom style="thin">
          <color theme="0" tint="-0.24994659260841701"/>
        </bottom>
      </border>
    </dxf>
    <dxf>
      <font>
        <b val="0"/>
      </font>
    </dxf>
    <dxf>
      <font>
        <b val="0"/>
      </font>
    </dxf>
    <dxf>
      <alignment horizontal="right"/>
    </dxf>
    <dxf>
      <font>
        <b/>
      </font>
    </dxf>
    <dxf>
      <font>
        <b/>
      </font>
    </dxf>
    <dxf>
      <alignment horizontal="right"/>
    </dxf>
    <dxf>
      <border>
        <horizontal/>
      </border>
    </dxf>
    <dxf>
      <border>
        <horizontal/>
      </border>
    </dxf>
    <dxf>
      <border>
        <bottom style="thin">
          <color theme="0" tint="-0.24994659260841701"/>
        </bottom>
      </border>
    </dxf>
    <dxf>
      <border>
        <bottom style="thin">
          <color theme="0" tint="-0.24994659260841701"/>
        </bottom>
      </border>
    </dxf>
    <dxf>
      <font>
        <b val="0"/>
      </font>
    </dxf>
    <dxf>
      <font>
        <b val="0"/>
      </font>
    </dxf>
    <dxf>
      <border>
        <bottom style="thin">
          <color theme="0" tint="-0.24994659260841701"/>
        </bottom>
        <horizontal style="thin">
          <color theme="0" tint="-0.24994659260841701"/>
        </horizontal>
      </border>
    </dxf>
    <dxf>
      <border>
        <bottom style="thin">
          <color theme="0" tint="-0.24994659260841701"/>
        </bottom>
        <horizontal style="thin">
          <color theme="0" tint="-0.24994659260841701"/>
        </horizontal>
      </border>
    </dxf>
    <dxf>
      <numFmt numFmtId="13" formatCode="0%"/>
    </dxf>
    <dxf>
      <numFmt numFmtId="14" formatCode="0.00%"/>
    </dxf>
    <dxf>
      <numFmt numFmtId="164" formatCode="&quot;$&quot;#,##0"/>
    </dxf>
    <dxf>
      <alignment horizontal="right"/>
    </dxf>
    <dxf>
      <border>
        <bottom style="medium">
          <color auto="1"/>
        </bottom>
      </border>
    </dxf>
    <dxf>
      <border>
        <top style="thin">
          <color theme="1" tint="0.499984740745262"/>
        </top>
        <bottom style="thin">
          <color theme="1" tint="0.499984740745262"/>
        </bottom>
      </border>
    </dxf>
    <dxf>
      <border>
        <top style="thin">
          <color theme="1" tint="0.499984740745262"/>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style="thin">
          <color theme="0" tint="-0.34998626667073579"/>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horizontal style="thin">
          <color theme="0" tint="-0.14999847407452621"/>
        </horizontal>
      </border>
    </dxf>
    <dxf>
      <font>
        <b/>
        <color theme="1"/>
      </font>
      <border>
        <bottom style="thin">
          <color theme="6"/>
        </bottom>
        <vertical/>
        <horizontal/>
      </border>
    </dxf>
    <dxf>
      <font>
        <color theme="1"/>
      </font>
      <border diagonalUp="0" diagonalDown="0">
        <left/>
        <right/>
        <top/>
        <bottom/>
        <vertical/>
        <horizontal/>
      </border>
    </dxf>
  </dxfs>
  <tableStyles count="3" defaultPivotStyle="PivotStyleLight16">
    <tableStyle name="ProjectSlicer" pivot="0" table="0" count="10" xr9:uid="{00000000-0011-0000-FFFF-FFFF01000000}">
      <tableStyleElement type="wholeTable" dxfId="61"/>
      <tableStyleElement type="headerRow" dxfId="60"/>
    </tableStyle>
    <tableStyle name="ProjectStyle2" table="0" count="11" xr9:uid="{D58689E9-8B7D-421A-B7F4-C11544CAA25E}">
      <tableStyleElement type="wholeTable" dxfId="59"/>
      <tableStyleElement type="headerRow" dxfId="58"/>
      <tableStyleElement type="totalRow" dxfId="57"/>
      <tableStyleElement type="firstRowStripe" dxfId="56"/>
      <tableStyleElement type="firstColumnStripe" dxfId="55"/>
      <tableStyleElement type="firstSubtotalRow" dxfId="54"/>
      <tableStyleElement type="secondSubtotalRow" dxfId="53"/>
      <tableStyleElement type="firstRowSubheading" dxfId="52"/>
      <tableStyleElement type="secondRowSubheading" dxfId="51"/>
      <tableStyleElement type="pageFieldLabels" dxfId="50"/>
      <tableStyleElement type="pageFieldValues" dxfId="49"/>
    </tableStyle>
    <tableStyle name="Table Style 1" pivot="0" count="1" xr9:uid="{00000000-0011-0000-FFFF-FFFF02000000}">
      <tableStyleElement type="wholeTable" dxfId="48"/>
    </tableStyle>
  </tableStyles>
  <colors>
    <mruColors>
      <color rgb="FF929292"/>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Project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[Monthly_Sales_Reporting_Template_Tool_test.xlsm]Workings!RegionChart</c:name>
    <c:fmtId val="0"/>
  </c:pivotSource>
  <c:chart>
    <c:autoTitleDeleted val="1"/>
    <c:pivotFmts>
      <c:pivotFmt>
        <c:idx val="0"/>
        <c:spPr>
          <a:solidFill>
            <a:srgbClr val="929292"/>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Workings!$T$22</c:f>
              <c:strCache>
                <c:ptCount val="1"/>
                <c:pt idx="0">
                  <c:v>Total</c:v>
                </c:pt>
              </c:strCache>
            </c:strRef>
          </c:tx>
          <c:spPr>
            <a:solidFill>
              <a:srgbClr val="929292"/>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Workings!$S$23:$S$27</c:f>
              <c:strCache>
                <c:ptCount val="4"/>
                <c:pt idx="0">
                  <c:v>Werner Strauss</c:v>
                </c:pt>
                <c:pt idx="1">
                  <c:v>Aida GmbH</c:v>
                </c:pt>
                <c:pt idx="2">
                  <c:v>Liebher</c:v>
                </c:pt>
                <c:pt idx="3">
                  <c:v>Edson</c:v>
                </c:pt>
              </c:strCache>
            </c:strRef>
          </c:cat>
          <c:val>
            <c:numRef>
              <c:f>Workings!$T$23:$T$27</c:f>
              <c:numCache>
                <c:formatCode>General</c:formatCode>
                <c:ptCount val="4"/>
                <c:pt idx="0">
                  <c:v>378530.11</c:v>
                </c:pt>
                <c:pt idx="1">
                  <c:v>174854.43999999997</c:v>
                </c:pt>
                <c:pt idx="2">
                  <c:v>58511.98</c:v>
                </c:pt>
                <c:pt idx="3">
                  <c:v>36846.080000000002</c:v>
                </c:pt>
              </c:numCache>
            </c:numRef>
          </c:val>
          <c:extLst>
            <c:ext xmlns:c16="http://schemas.microsoft.com/office/drawing/2014/chart" uri="{C3380CC4-5D6E-409C-BE32-E72D297353CC}">
              <c16:uniqueId val="{00000001-7527-44C9-8140-984178FC41F4}"/>
            </c:ext>
          </c:extLst>
        </c:ser>
        <c:dLbls>
          <c:dLblPos val="outEnd"/>
          <c:showLegendKey val="0"/>
          <c:showVal val="1"/>
          <c:showCatName val="0"/>
          <c:showSerName val="0"/>
          <c:showPercent val="0"/>
          <c:showBubbleSize val="0"/>
        </c:dLbls>
        <c:gapWidth val="58"/>
        <c:overlap val="100"/>
        <c:axId val="719202632"/>
        <c:axId val="719200664"/>
      </c:barChart>
      <c:catAx>
        <c:axId val="71920263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19200664"/>
        <c:crosses val="autoZero"/>
        <c:auto val="1"/>
        <c:lblAlgn val="ctr"/>
        <c:lblOffset val="100"/>
        <c:noMultiLvlLbl val="0"/>
      </c:catAx>
      <c:valAx>
        <c:axId val="719200664"/>
        <c:scaling>
          <c:orientation val="minMax"/>
          <c:max val="500000"/>
          <c:min val="0"/>
        </c:scaling>
        <c:delete val="1"/>
        <c:axPos val="t"/>
        <c:majorGridlines>
          <c:spPr>
            <a:ln w="9525" cap="flat" cmpd="sng" algn="ctr">
              <a:noFill/>
              <a:round/>
            </a:ln>
            <a:effectLst/>
          </c:spPr>
        </c:majorGridlines>
        <c:numFmt formatCode="General" sourceLinked="1"/>
        <c:majorTickMark val="none"/>
        <c:minorTickMark val="none"/>
        <c:tickLblPos val="nextTo"/>
        <c:crossAx val="719202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11</xdr:col>
      <xdr:colOff>324196</xdr:colOff>
      <xdr:row>0</xdr:row>
      <xdr:rowOff>77933</xdr:rowOff>
    </xdr:from>
    <xdr:ext cx="2260023" cy="320386"/>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346719"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1</xdr:col>
          <xdr:colOff>304800</xdr:colOff>
          <xdr:row>29</xdr:row>
          <xdr:rowOff>0</xdr:rowOff>
        </xdr:from>
        <xdr:to>
          <xdr:col>2</xdr:col>
          <xdr:colOff>228600</xdr:colOff>
          <xdr:row>30</xdr:row>
          <xdr:rowOff>60960</xdr:rowOff>
        </xdr:to>
        <xdr:sp macro="" textlink="">
          <xdr:nvSpPr>
            <xdr:cNvPr id="1027" name="AxRegion"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268432</xdr:colOff>
      <xdr:row>15</xdr:row>
      <xdr:rowOff>51955</xdr:rowOff>
    </xdr:from>
    <xdr:to>
      <xdr:col>3</xdr:col>
      <xdr:colOff>94386</xdr:colOff>
      <xdr:row>22</xdr:row>
      <xdr:rowOff>53688</xdr:rowOff>
    </xdr:to>
    <xdr:sp macro="" textlink="">
      <xdr:nvSpPr>
        <xdr:cNvPr id="10" name="Rectangle: Top Corners One Rounded and One Snipped 9">
          <a:extLst>
            <a:ext uri="{FF2B5EF4-FFF2-40B4-BE49-F238E27FC236}">
              <a16:creationId xmlns:a16="http://schemas.microsoft.com/office/drawing/2014/main" id="{00000000-0008-0000-0100-00000A000000}"/>
            </a:ext>
          </a:extLst>
        </xdr:cNvPr>
        <xdr:cNvSpPr/>
      </xdr:nvSpPr>
      <xdr:spPr>
        <a:xfrm>
          <a:off x="268432" y="1082387"/>
          <a:ext cx="2102256" cy="1204481"/>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Individual</a:t>
          </a:r>
          <a:r>
            <a:rPr lang="en-US" sz="1050" baseline="0"/>
            <a:t> Sales Reports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xdr:from>
      <xdr:col>4</xdr:col>
      <xdr:colOff>527512</xdr:colOff>
      <xdr:row>15</xdr:row>
      <xdr:rowOff>106678</xdr:rowOff>
    </xdr:from>
    <xdr:to>
      <xdr:col>8</xdr:col>
      <xdr:colOff>228947</xdr:colOff>
      <xdr:row>21</xdr:row>
      <xdr:rowOff>47106</xdr:rowOff>
    </xdr:to>
    <xdr:grpSp>
      <xdr:nvGrpSpPr>
        <xdr:cNvPr id="3" name="Group 2">
          <a:extLst>
            <a:ext uri="{FF2B5EF4-FFF2-40B4-BE49-F238E27FC236}">
              <a16:creationId xmlns:a16="http://schemas.microsoft.com/office/drawing/2014/main" id="{C66C0564-1ABF-B371-5C2A-4434F285640A}"/>
            </a:ext>
          </a:extLst>
        </xdr:cNvPr>
        <xdr:cNvGrpSpPr/>
      </xdr:nvGrpSpPr>
      <xdr:grpSpPr>
        <a:xfrm>
          <a:off x="3194512" y="3057696"/>
          <a:ext cx="2146762" cy="979519"/>
          <a:chOff x="3194512" y="3057696"/>
          <a:chExt cx="2146762" cy="979519"/>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3557925" y="3216131"/>
                <a:ext cx="1783349" cy="711002"/>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Import Sales Data</a:t>
                </a:r>
              </a:p>
            </xdr:txBody>
          </xdr:sp>
        </mc:Choice>
        <mc:Fallback/>
      </mc:AlternateContent>
      <xdr:pic macro="[0]!ImportData">
        <xdr:nvPicPr>
          <xdr:cNvPr id="11" name="Graphic 10" descr="Open Folder">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194512" y="3057696"/>
            <a:ext cx="970973" cy="979519"/>
          </a:xfrm>
          <a:prstGeom prst="rect">
            <a:avLst/>
          </a:prstGeom>
        </xdr:spPr>
      </xdr:pic>
    </xdr:grpSp>
    <xdr:clientData/>
  </xdr:twoCellAnchor>
  <xdr:twoCellAnchor editAs="oneCell">
    <xdr:from>
      <xdr:col>1</xdr:col>
      <xdr:colOff>38447</xdr:colOff>
      <xdr:row>32</xdr:row>
      <xdr:rowOff>148073</xdr:rowOff>
    </xdr:from>
    <xdr:to>
      <xdr:col>3</xdr:col>
      <xdr:colOff>129714</xdr:colOff>
      <xdr:row>39</xdr:row>
      <xdr:rowOff>78800</xdr:rowOff>
    </xdr:to>
    <xdr:sp macro="" textlink="">
      <xdr:nvSpPr>
        <xdr:cNvPr id="15" name="Rectangle: Top Corners One Rounded and One Snipped 14">
          <a:extLst>
            <a:ext uri="{FF2B5EF4-FFF2-40B4-BE49-F238E27FC236}">
              <a16:creationId xmlns:a16="http://schemas.microsoft.com/office/drawing/2014/main" id="{00000000-0008-0000-0100-00000F000000}"/>
            </a:ext>
          </a:extLst>
        </xdr:cNvPr>
        <xdr:cNvSpPr/>
      </xdr:nvSpPr>
      <xdr:spPr>
        <a:xfrm>
          <a:off x="315538" y="5525368"/>
          <a:ext cx="2077143" cy="114300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i="0">
              <a:solidFill>
                <a:schemeClr val="lt1"/>
              </a:solidFill>
              <a:latin typeface="+mn-lt"/>
              <a:ea typeface="+mn-ea"/>
              <a:cs typeface="+mn-cs"/>
            </a:rPr>
            <a:t>Update</a:t>
          </a:r>
          <a:r>
            <a:rPr lang="en-US" sz="1050" i="0" baseline="0">
              <a:solidFill>
                <a:schemeClr val="lt1"/>
              </a:solidFill>
              <a:latin typeface="+mn-lt"/>
              <a:ea typeface="+mn-ea"/>
              <a:cs typeface="+mn-cs"/>
            </a:rPr>
            <a:t> all tables and chart that sit in 'Workings' tab so that they only show the attributes and metrics that are related to the selected region.</a:t>
          </a:r>
          <a:endParaRPr lang="en-US" sz="1050" i="1">
            <a:solidFill>
              <a:schemeClr val="lt1"/>
            </a:solidFill>
            <a:latin typeface="+mn-lt"/>
            <a:ea typeface="+mn-ea"/>
            <a:cs typeface="+mn-cs"/>
          </a:endParaRPr>
        </a:p>
      </xdr:txBody>
    </xdr:sp>
    <xdr:clientData/>
  </xdr:twoCellAnchor>
  <xdr:twoCellAnchor>
    <xdr:from>
      <xdr:col>5</xdr:col>
      <xdr:colOff>20264</xdr:colOff>
      <xdr:row>33</xdr:row>
      <xdr:rowOff>159154</xdr:rowOff>
    </xdr:from>
    <xdr:to>
      <xdr:col>8</xdr:col>
      <xdr:colOff>363682</xdr:colOff>
      <xdr:row>38</xdr:row>
      <xdr:rowOff>9699</xdr:rowOff>
    </xdr:to>
    <xdr:grpSp>
      <xdr:nvGrpSpPr>
        <xdr:cNvPr id="9" name="Group 8">
          <a:extLst>
            <a:ext uri="{FF2B5EF4-FFF2-40B4-BE49-F238E27FC236}">
              <a16:creationId xmlns:a16="http://schemas.microsoft.com/office/drawing/2014/main" id="{0B9CC53C-447C-B2FA-50D8-758CAF92A7B1}"/>
            </a:ext>
          </a:extLst>
        </xdr:cNvPr>
        <xdr:cNvGrpSpPr/>
      </xdr:nvGrpSpPr>
      <xdr:grpSpPr>
        <a:xfrm>
          <a:off x="3310719" y="6172027"/>
          <a:ext cx="2165290" cy="681817"/>
          <a:chOff x="3310719" y="6172027"/>
          <a:chExt cx="2165290" cy="681817"/>
        </a:xfrm>
      </xdr:grpSpPr>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3343080" y="6172027"/>
                <a:ext cx="2132929" cy="681817"/>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Update Workings Tables</a:t>
                </a:r>
              </a:p>
            </xdr:txBody>
          </xdr:sp>
        </mc:Choice>
        <mc:Fallback/>
      </mc:AlternateContent>
      <xdr:pic macro="[0]!UpdateWorkings">
        <xdr:nvPicPr>
          <xdr:cNvPr id="17" name="Picture 16" descr="Refresh Icon transparent PNG - Stick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10719" y="6226824"/>
            <a:ext cx="565422" cy="56077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0</xdr:col>
      <xdr:colOff>247304</xdr:colOff>
      <xdr:row>45</xdr:row>
      <xdr:rowOff>129887</xdr:rowOff>
    </xdr:from>
    <xdr:to>
      <xdr:col>3</xdr:col>
      <xdr:colOff>92479</xdr:colOff>
      <xdr:row>52</xdr:row>
      <xdr:rowOff>91613</xdr:rowOff>
    </xdr:to>
    <xdr:sp macro="" textlink="">
      <xdr:nvSpPr>
        <xdr:cNvPr id="18" name="Rectangle: Top Corners One Rounded and One Snipped 17">
          <a:extLst>
            <a:ext uri="{FF2B5EF4-FFF2-40B4-BE49-F238E27FC236}">
              <a16:creationId xmlns:a16="http://schemas.microsoft.com/office/drawing/2014/main" id="{00000000-0008-0000-0100-000012000000}"/>
            </a:ext>
          </a:extLst>
        </xdr:cNvPr>
        <xdr:cNvSpPr/>
      </xdr:nvSpPr>
      <xdr:spPr>
        <a:xfrm>
          <a:off x="247304" y="7585364"/>
          <a:ext cx="2121477" cy="1181619"/>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xdr:from>
      <xdr:col>4</xdr:col>
      <xdr:colOff>477289</xdr:colOff>
      <xdr:row>42</xdr:row>
      <xdr:rowOff>77931</xdr:rowOff>
    </xdr:from>
    <xdr:to>
      <xdr:col>8</xdr:col>
      <xdr:colOff>145299</xdr:colOff>
      <xdr:row>48</xdr:row>
      <xdr:rowOff>129885</xdr:rowOff>
    </xdr:to>
    <xdr:grpSp>
      <xdr:nvGrpSpPr>
        <xdr:cNvPr id="14" name="Group 13">
          <a:extLst>
            <a:ext uri="{FF2B5EF4-FFF2-40B4-BE49-F238E27FC236}">
              <a16:creationId xmlns:a16="http://schemas.microsoft.com/office/drawing/2014/main" id="{91531ECE-77BB-CE90-8AED-B3F22A9D423B}"/>
            </a:ext>
          </a:extLst>
        </xdr:cNvPr>
        <xdr:cNvGrpSpPr/>
      </xdr:nvGrpSpPr>
      <xdr:grpSpPr>
        <a:xfrm>
          <a:off x="3144289" y="7594022"/>
          <a:ext cx="2113337" cy="1091045"/>
          <a:chOff x="3144289" y="7594022"/>
          <a:chExt cx="2113337" cy="1091045"/>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3413725" y="7802186"/>
                <a:ext cx="1843901" cy="636617"/>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Create Regional</a:t>
                </a:r>
              </a:p>
              <a:p>
                <a:pPr algn="ctr" rtl="0">
                  <a:defRPr sz="1000"/>
                </a:pPr>
                <a:r>
                  <a:rPr lang="en-AU" sz="1000" b="0" i="0" u="none" strike="noStrike" baseline="0">
                    <a:solidFill>
                      <a:srgbClr val="000000"/>
                    </a:solidFill>
                    <a:latin typeface="Arial"/>
                    <a:cs typeface="Arial"/>
                  </a:rPr>
                  <a:t>                     Manager Report</a:t>
                </a:r>
              </a:p>
            </xdr:txBody>
          </xdr:sp>
        </mc:Choice>
        <mc:Fallback/>
      </mc:AlternateContent>
      <xdr:pic macro="[0]!RM_Report">
        <xdr:nvPicPr>
          <xdr:cNvPr id="21" name="Graphic 20" descr="Closed Book">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144289" y="7594022"/>
            <a:ext cx="1139011" cy="1091045"/>
          </a:xfrm>
          <a:prstGeom prst="rect">
            <a:avLst/>
          </a:prstGeom>
        </xdr:spPr>
      </xdr:pic>
    </xdr:grpSp>
    <xdr:clientData/>
  </xdr:twoCellAnchor>
  <xdr:twoCellAnchor>
    <xdr:from>
      <xdr:col>4</xdr:col>
      <xdr:colOff>436937</xdr:colOff>
      <xdr:row>49</xdr:row>
      <xdr:rowOff>96982</xdr:rowOff>
    </xdr:from>
    <xdr:to>
      <xdr:col>8</xdr:col>
      <xdr:colOff>186689</xdr:colOff>
      <xdr:row>56</xdr:row>
      <xdr:rowOff>29788</xdr:rowOff>
    </xdr:to>
    <xdr:grpSp>
      <xdr:nvGrpSpPr>
        <xdr:cNvPr id="16" name="Group 15">
          <a:extLst>
            <a:ext uri="{FF2B5EF4-FFF2-40B4-BE49-F238E27FC236}">
              <a16:creationId xmlns:a16="http://schemas.microsoft.com/office/drawing/2014/main" id="{88C00C7D-2943-6D00-4D21-525B0A3C5C97}"/>
            </a:ext>
          </a:extLst>
        </xdr:cNvPr>
        <xdr:cNvGrpSpPr/>
      </xdr:nvGrpSpPr>
      <xdr:grpSpPr>
        <a:xfrm>
          <a:off x="3103937" y="8825346"/>
          <a:ext cx="2195079" cy="1110442"/>
          <a:chOff x="3103937" y="8825346"/>
          <a:chExt cx="2195079" cy="1110442"/>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3510241" y="9023860"/>
                <a:ext cx="1788775" cy="679042"/>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Create Top </a:t>
                </a:r>
              </a:p>
              <a:p>
                <a:pPr algn="ctr" rtl="0">
                  <a:defRPr sz="1000"/>
                </a:pPr>
                <a:r>
                  <a:rPr lang="en-AU" sz="1000" b="0" i="0" u="none" strike="noStrike" baseline="0">
                    <a:solidFill>
                      <a:srgbClr val="000000"/>
                    </a:solidFill>
                    <a:latin typeface="Arial"/>
                    <a:cs typeface="Arial"/>
                  </a:rPr>
                  <a:t>             Management Report</a:t>
                </a:r>
              </a:p>
            </xdr:txBody>
          </xdr:sp>
        </mc:Choice>
        <mc:Fallback/>
      </mc:AlternateContent>
      <xdr:pic macro="[0]!TM_Report">
        <xdr:nvPicPr>
          <xdr:cNvPr id="23" name="Graphic 22" descr="Closed Book">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103937" y="8825346"/>
            <a:ext cx="1175987" cy="1110442"/>
          </a:xfrm>
          <a:prstGeom prst="rect">
            <a:avLst/>
          </a:prstGeom>
        </xdr:spPr>
      </xdr:pic>
    </xdr:grpSp>
    <xdr:clientData/>
  </xdr:twoCellAnchor>
  <xdr:twoCellAnchor>
    <xdr:from>
      <xdr:col>4</xdr:col>
      <xdr:colOff>549333</xdr:colOff>
      <xdr:row>59</xdr:row>
      <xdr:rowOff>95249</xdr:rowOff>
    </xdr:from>
    <xdr:to>
      <xdr:col>8</xdr:col>
      <xdr:colOff>190499</xdr:colOff>
      <xdr:row>65</xdr:row>
      <xdr:rowOff>131963</xdr:rowOff>
    </xdr:to>
    <xdr:grpSp>
      <xdr:nvGrpSpPr>
        <xdr:cNvPr id="20" name="Group 19">
          <a:extLst>
            <a:ext uri="{FF2B5EF4-FFF2-40B4-BE49-F238E27FC236}">
              <a16:creationId xmlns:a16="http://schemas.microsoft.com/office/drawing/2014/main" id="{DF35B46C-CC18-348A-A216-93EC2157AC52}"/>
            </a:ext>
          </a:extLst>
        </xdr:cNvPr>
        <xdr:cNvGrpSpPr/>
      </xdr:nvGrpSpPr>
      <xdr:grpSpPr>
        <a:xfrm>
          <a:off x="3216333" y="10506940"/>
          <a:ext cx="2086493" cy="1034241"/>
          <a:chOff x="3216333" y="10506940"/>
          <a:chExt cx="2086493" cy="1034241"/>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3619393" y="10749352"/>
                <a:ext cx="1683433" cy="67598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Create CSV</a:t>
                </a:r>
              </a:p>
            </xdr:txBody>
          </xdr:sp>
        </mc:Choice>
        <mc:Fallback/>
      </mc:AlternateContent>
      <xdr:pic macro="[0]!ExportAsCSV">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6"/>
          <a:stretch>
            <a:fillRect/>
          </a:stretch>
        </xdr:blipFill>
        <xdr:spPr>
          <a:xfrm>
            <a:off x="3216333" y="10506940"/>
            <a:ext cx="1093031" cy="1034241"/>
          </a:xfrm>
          <a:prstGeom prst="rect">
            <a:avLst/>
          </a:prstGeom>
        </xdr:spPr>
      </xdr:pic>
    </xdr:grpSp>
    <xdr:clientData/>
  </xdr:twoCellAnchor>
  <xdr:twoCellAnchor editAs="oneCell">
    <xdr:from>
      <xdr:col>0</xdr:col>
      <xdr:colOff>258907</xdr:colOff>
      <xdr:row>59</xdr:row>
      <xdr:rowOff>152053</xdr:rowOff>
    </xdr:from>
    <xdr:to>
      <xdr:col>3</xdr:col>
      <xdr:colOff>133522</xdr:colOff>
      <xdr:row>65</xdr:row>
      <xdr:rowOff>94556</xdr:rowOff>
    </xdr:to>
    <xdr:sp macro="" textlink="">
      <xdr:nvSpPr>
        <xdr:cNvPr id="30" name="Rectangle: Top Corners One Rounded and One Snipped 29">
          <a:extLst>
            <a:ext uri="{FF2B5EF4-FFF2-40B4-BE49-F238E27FC236}">
              <a16:creationId xmlns:a16="http://schemas.microsoft.com/office/drawing/2014/main" id="{00000000-0008-0000-0100-00001E000000}"/>
            </a:ext>
          </a:extLst>
        </xdr:cNvPr>
        <xdr:cNvSpPr/>
      </xdr:nvSpPr>
      <xdr:spPr>
        <a:xfrm>
          <a:off x="258907" y="10205258"/>
          <a:ext cx="2128057" cy="98921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0</xdr:col>
      <xdr:colOff>211629</xdr:colOff>
      <xdr:row>4</xdr:row>
      <xdr:rowOff>112565</xdr:rowOff>
    </xdr:from>
    <xdr:to>
      <xdr:col>3</xdr:col>
      <xdr:colOff>250074</xdr:colOff>
      <xdr:row>12</xdr:row>
      <xdr:rowOff>65463</xdr:rowOff>
    </xdr:to>
    <xdr:sp macro="" textlink="">
      <xdr:nvSpPr>
        <xdr:cNvPr id="32" name="Rectangle: Top Corners One Rounded and One Snipped 31">
          <a:extLst>
            <a:ext uri="{FF2B5EF4-FFF2-40B4-BE49-F238E27FC236}">
              <a16:creationId xmlns:a16="http://schemas.microsoft.com/office/drawing/2014/main" id="{00000000-0008-0000-0100-000020000000}"/>
            </a:ext>
          </a:extLst>
        </xdr:cNvPr>
        <xdr:cNvSpPr/>
      </xdr:nvSpPr>
      <xdr:spPr>
        <a:xfrm>
          <a:off x="211629" y="1151656"/>
          <a:ext cx="2299507" cy="1194958"/>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1" baseline="0">
              <a:solidFill>
                <a:schemeClr val="lt1"/>
              </a:solidFill>
              <a:latin typeface="+mn-lt"/>
              <a:ea typeface="+mn-ea"/>
              <a:cs typeface="+mn-cs"/>
            </a:rPr>
            <a:t>For Admin Only </a:t>
          </a:r>
        </a:p>
        <a:p>
          <a:pPr marL="0" indent="0" algn="l"/>
          <a:r>
            <a:rPr lang="en-US" sz="1050" baseline="0">
              <a:solidFill>
                <a:schemeClr val="lt1"/>
              </a:solidFill>
              <a:latin typeface="+mn-lt"/>
              <a:ea typeface="+mn-ea"/>
              <a:cs typeface="+mn-cs"/>
            </a:rPr>
            <a:t>- Clear this workbook FIRST to start a new month report preparation</a:t>
          </a:r>
        </a:p>
        <a:p>
          <a:pPr marL="0" indent="0" algn="l"/>
          <a:r>
            <a:rPr lang="en-US" sz="1050" baseline="0">
              <a:solidFill>
                <a:schemeClr val="lt1"/>
              </a:solidFill>
              <a:latin typeface="+mn-lt"/>
              <a:ea typeface="+mn-ea"/>
              <a:cs typeface="+mn-cs"/>
            </a:rPr>
            <a:t>- Opens up the hidden tabs in case problems arise.</a:t>
          </a:r>
          <a:endParaRPr lang="en-US" sz="1050" i="1">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5</xdr:col>
          <xdr:colOff>172079</xdr:colOff>
          <xdr:row>6</xdr:row>
          <xdr:rowOff>5740</xdr:rowOff>
        </xdr:from>
        <xdr:to>
          <xdr:col>8</xdr:col>
          <xdr:colOff>13334</xdr:colOff>
          <xdr:row>9</xdr:row>
          <xdr:rowOff>123239</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Clear Workbook</a:t>
              </a:r>
            </a:p>
          </xdr:txBody>
        </xdr:sp>
        <xdr:clientData/>
      </xdr:twoCellAnchor>
    </mc:Choice>
    <mc:Fallback/>
  </mc:AlternateContent>
  <xdr:twoCellAnchor>
    <xdr:from>
      <xdr:col>4</xdr:col>
      <xdr:colOff>534959</xdr:colOff>
      <xdr:row>4</xdr:row>
      <xdr:rowOff>125038</xdr:rowOff>
    </xdr:from>
    <xdr:to>
      <xdr:col>6</xdr:col>
      <xdr:colOff>54696</xdr:colOff>
      <xdr:row>11</xdr:row>
      <xdr:rowOff>73909</xdr:rowOff>
    </xdr:to>
    <xdr:pic macro="[0]!ClearWorkbook">
      <xdr:nvPicPr>
        <xdr:cNvPr id="34" name="Picture 33" descr="Icon request: fa-clean · Issue #11632 · FortAwesome/Font-Awesome · GitHub">
          <a:extLst>
            <a:ext uri="{FF2B5EF4-FFF2-40B4-BE49-F238E27FC236}">
              <a16:creationId xmlns:a16="http://schemas.microsoft.com/office/drawing/2014/main" id="{00000000-0008-0000-0100-000022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201959" y="1164129"/>
          <a:ext cx="1029882" cy="1008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113049</xdr:colOff>
      <xdr:row>4</xdr:row>
      <xdr:rowOff>153533</xdr:rowOff>
    </xdr:from>
    <xdr:to>
      <xdr:col>11</xdr:col>
      <xdr:colOff>618605</xdr:colOff>
      <xdr:row>11</xdr:row>
      <xdr:rowOff>53653</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5848831" y="1192624"/>
          <a:ext cx="1752465" cy="959993"/>
          <a:chOff x="5871344" y="1192624"/>
          <a:chExt cx="1769787" cy="982506"/>
        </a:xfrm>
      </xdr:grpSpPr>
      <mc:AlternateContent xmlns:mc="http://schemas.openxmlformats.org/markup-compatibility/2006">
        <mc:Choice xmlns:a14="http://schemas.microsoft.com/office/drawing/2010/main" Requires="a14">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6217230" y="1346488"/>
                <a:ext cx="1423901" cy="549853"/>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               Admin</a:t>
                </a:r>
              </a:p>
            </xdr:txBody>
          </xdr:sp>
        </mc:Choice>
        <mc:Fallback/>
      </mc:AlternateContent>
      <xdr:pic macro="[0]!Hide_Unhide_Sheets">
        <xdr:nvPicPr>
          <xdr:cNvPr id="37" name="Graphic 36" descr="Key">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20011452">
            <a:off x="5871344" y="1192624"/>
            <a:ext cx="1102632" cy="982506"/>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23</xdr:col>
      <xdr:colOff>17781</xdr:colOff>
      <xdr:row>1</xdr:row>
      <xdr:rowOff>77471</xdr:rowOff>
    </xdr:from>
    <xdr:to>
      <xdr:col>24</xdr:col>
      <xdr:colOff>647066</xdr:colOff>
      <xdr:row>3</xdr:row>
      <xdr:rowOff>136208</xdr:rowOff>
    </xdr:to>
    <mc:AlternateContent xmlns:mc="http://schemas.openxmlformats.org/markup-compatibility/2006" xmlns:a14="http://schemas.microsoft.com/office/drawing/2010/main">
      <mc:Choice Requires="a14">
        <xdr:graphicFrame macro="">
          <xdr:nvGraphicFramePr>
            <xdr:cNvPr id="9" name="Company Name">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22595841" y="553721"/>
              <a:ext cx="2677160" cy="397827"/>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64769</xdr:colOff>
      <xdr:row>14</xdr:row>
      <xdr:rowOff>55246</xdr:rowOff>
    </xdr:from>
    <xdr:to>
      <xdr:col>21</xdr:col>
      <xdr:colOff>382905</xdr:colOff>
      <xdr:row>39</xdr:row>
      <xdr:rowOff>150496</xdr:rowOff>
    </xdr:to>
    <xdr:graphicFrame macro="">
      <xdr:nvGraphicFramePr>
        <xdr:cNvPr id="2" name="Region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uchu Xiong" refreshedDate="45072.628023379628" createdVersion="7" refreshedVersion="8" minRefreshableVersion="3" recordCount="77" xr:uid="{84625B63-1DC9-48C6-A099-5DDFFFDCA0D3}">
  <cacheSource type="worksheet">
    <worksheetSource name="tabletemp"/>
  </cacheSource>
  <cacheFields count="14">
    <cacheField name="Company ID" numFmtId="0">
      <sharedItems/>
    </cacheField>
    <cacheField name="Sales Document" numFmtId="0">
      <sharedItems containsSemiMixedTypes="0" containsString="0" containsNumber="1" containsInteger="1" minValue="44015" maxValue="88666"/>
    </cacheField>
    <cacheField name="Document Date" numFmtId="14">
      <sharedItems containsSemiMixedTypes="0" containsNonDate="0" containsDate="1" containsString="0" minDate="2018-10-04T00:00:00" maxDate="2018-10-27T00:00:00"/>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MixedTypes="1" containsNumber="1" containsInteger="1" minValue="1200" maxValue="53320" count="45">
        <s v="Bere Kleid"/>
        <s v="Lucas Basics"/>
        <n v="7280" u="1"/>
        <n v="1350" u="1"/>
        <n v="5160" u="1"/>
        <n v="10440" u="1"/>
        <n v="10800" u="1"/>
        <n v="3000" u="1"/>
        <n v="3800" u="1"/>
        <n v="31800" u="1"/>
        <n v="20460" u="1"/>
        <n v="8700" u="1"/>
        <n v="1400" u="1"/>
        <n v="3450" u="1"/>
        <n v="29000" u="1"/>
        <n v="6960" u="1"/>
        <n v="2300" u="1"/>
        <n v="4860" u="1"/>
        <n v="1320" u="1"/>
        <n v="4700" u="1"/>
        <n v="1680" u="1"/>
        <n v="39060" u="1"/>
        <n v="2240" u="1"/>
        <n v="53320" u="1"/>
        <n v="7560" u="1"/>
        <n v="30000" u="1"/>
        <n v="4200" u="1"/>
        <n v="1200" u="1"/>
        <n v="2340" u="1"/>
        <n v="4560" u="1"/>
        <n v="1600" u="1"/>
        <n v="3850" u="1"/>
        <n v="5280" u="1"/>
        <n v="27260" u="1"/>
        <n v="22320" u="1"/>
        <n v="1560" u="1"/>
        <n v="1960" u="1"/>
        <n v="15680" u="1"/>
        <n v="17400" u="1"/>
        <n v="3600" u="1"/>
        <n v="22400" u="1"/>
        <n v="11800" u="1"/>
        <n v="28800" u="1"/>
        <n v="15000" u="1"/>
        <n v="1300" u="1"/>
      </sharedItems>
    </cacheField>
    <cacheField name="Customer Name" numFmtId="0">
      <sharedItems containsBlank="1" count="10">
        <s v="Aida GmbH"/>
        <s v="Werner Strauss"/>
        <s v="Edson"/>
        <s v="Liebher"/>
        <m u="1"/>
        <s v="Dellicia" u="1"/>
        <s v="Bere Kleid" u="1"/>
        <e v="#N/A" u="1"/>
        <s v="Erma" u="1"/>
        <s v="Lucas Basics" u="1"/>
      </sharedItems>
    </cacheField>
    <cacheField name="Article Description" numFmtId="0">
      <sharedItems containsBlank="1" count="21">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m u="1"/>
        <s v="Men dress shirt black" u="1"/>
        <s v="Men type T simple black" u="1"/>
        <s v="Men type T simple white" u="1"/>
        <s v="Men dress shirt grey" u="1"/>
        <e v="#N/A" u="1"/>
        <s v="Men shorts grey" u="1"/>
        <s v="Men basics" u="1"/>
        <s v="Men shorts black" u="1"/>
      </sharedItems>
    </cacheField>
    <cacheField name="Currency" numFmtId="0">
      <sharedItems/>
    </cacheField>
    <cacheField name="Sales US Dollar" numFmtId="0">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805796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r>
    <s v="1040DE"/>
    <n v="44030"/>
    <d v="2018-10-04T00:00:00"/>
    <n v="8060"/>
    <n v="108"/>
    <s v=""/>
    <n v="60"/>
    <n v="1680"/>
    <x v="1"/>
    <x v="3"/>
    <x v="11"/>
    <s v="EUR"/>
    <n v="1973.9"/>
  </r>
  <r>
    <s v="1040DE"/>
    <n v="44030"/>
    <d v="2018-10-04T00:00:00"/>
    <n v="8060"/>
    <n v="109"/>
    <n v="1"/>
    <n v="60"/>
    <n v="1680"/>
    <x v="1"/>
    <x v="3"/>
    <x v="8"/>
    <s v="EUR"/>
    <n v="1973.9"/>
  </r>
  <r>
    <s v="1040DE"/>
    <n v="44032"/>
    <d v="2018-10-07T00:00:00"/>
    <n v="8060"/>
    <n v="108"/>
    <s v=""/>
    <n v="60"/>
    <n v="1680"/>
    <x v="1"/>
    <x v="3"/>
    <x v="11"/>
    <s v="EUR"/>
    <n v="1973.9"/>
  </r>
  <r>
    <s v="1040DE"/>
    <n v="44032"/>
    <d v="2018-10-07T00:00:00"/>
    <n v="8060"/>
    <n v="109"/>
    <m/>
    <n v="70"/>
    <n v="1960"/>
    <x v="1"/>
    <x v="3"/>
    <x v="8"/>
    <s v="EUR"/>
    <n v="2302.88"/>
  </r>
  <r>
    <s v="1040DE"/>
    <n v="44031"/>
    <d v="2018-10-08T00:00:00"/>
    <n v="8050"/>
    <n v="108"/>
    <s v=""/>
    <n v="60"/>
    <n v="1680"/>
    <x v="1"/>
    <x v="0"/>
    <x v="11"/>
    <s v="EUR"/>
    <n v="1973.9"/>
  </r>
  <r>
    <s v="1040DE"/>
    <n v="44031"/>
    <d v="2018-10-08T00:00:00"/>
    <n v="8050"/>
    <n v="109"/>
    <s v=""/>
    <n v="50"/>
    <n v="1400"/>
    <x v="1"/>
    <x v="0"/>
    <x v="8"/>
    <s v="EUR"/>
    <n v="1644.91"/>
  </r>
  <r>
    <s v="1040DE"/>
    <n v="44031"/>
    <d v="2018-10-08T00:00:00"/>
    <n v="8050"/>
    <n v="110"/>
    <s v=""/>
    <n v="60"/>
    <n v="3600"/>
    <x v="1"/>
    <x v="0"/>
    <x v="4"/>
    <s v="EUR"/>
    <n v="4229.78"/>
  </r>
  <r>
    <s v="1040DE"/>
    <n v="48112"/>
    <d v="2018-10-11T00:00:00"/>
    <n v="8060"/>
    <n v="109"/>
    <m/>
    <n v="60"/>
    <n v="1680"/>
    <x v="1"/>
    <x v="3"/>
    <x v="8"/>
    <s v="EUR"/>
    <n v="1973.9"/>
  </r>
  <r>
    <s v="1040DE"/>
    <n v="48112"/>
    <d v="2018-10-11T00:00:00"/>
    <n v="8060"/>
    <n v="110"/>
    <s v=""/>
    <n v="50"/>
    <n v="3000"/>
    <x v="1"/>
    <x v="3"/>
    <x v="4"/>
    <s v="EUR"/>
    <n v="3524.82"/>
  </r>
  <r>
    <s v="1040DE"/>
    <n v="48114"/>
    <d v="2018-10-11T00:00:00"/>
    <n v="8050"/>
    <n v="109"/>
    <m/>
    <n v="60"/>
    <n v="1680"/>
    <x v="1"/>
    <x v="0"/>
    <x v="8"/>
    <s v="EUR"/>
    <n v="1973.9"/>
  </r>
  <r>
    <s v="1040DE"/>
    <n v="48114"/>
    <d v="2018-10-11T00:00:00"/>
    <n v="8050"/>
    <n v="110"/>
    <m/>
    <n v="60"/>
    <n v="3600"/>
    <x v="1"/>
    <x v="0"/>
    <x v="4"/>
    <s v="EUR"/>
    <n v="4229.78"/>
  </r>
  <r>
    <s v="1040DE"/>
    <n v="48114"/>
    <d v="2018-10-11T00:00:00"/>
    <n v="8050"/>
    <n v="111"/>
    <m/>
    <n v="80"/>
    <n v="1600"/>
    <x v="1"/>
    <x v="0"/>
    <x v="7"/>
    <s v="EUR"/>
    <n v="1879.9"/>
  </r>
  <r>
    <s v="1040DE"/>
    <n v="48116"/>
    <d v="2018-10-11T00:00:00"/>
    <n v="8060"/>
    <n v="109"/>
    <m/>
    <n v="60"/>
    <n v="1680"/>
    <x v="1"/>
    <x v="3"/>
    <x v="8"/>
    <s v="EUR"/>
    <n v="1973.9"/>
  </r>
  <r>
    <s v="1040DE"/>
    <n v="48116"/>
    <d v="2018-10-11T00:00:00"/>
    <n v="8060"/>
    <n v="110"/>
    <m/>
    <n v="60"/>
    <n v="3600"/>
    <x v="1"/>
    <x v="3"/>
    <x v="4"/>
    <s v="EUR"/>
    <n v="4229.78"/>
  </r>
  <r>
    <s v="1040DE"/>
    <n v="45442"/>
    <d v="2018-10-15T00:00:00"/>
    <n v="8050"/>
    <n v="108"/>
    <m/>
    <n v="50"/>
    <n v="1400"/>
    <x v="1"/>
    <x v="0"/>
    <x v="11"/>
    <s v="EUR"/>
    <n v="1644.91"/>
  </r>
  <r>
    <s v="1040DE"/>
    <n v="45442"/>
    <d v="2018-10-15T00:00:00"/>
    <n v="8050"/>
    <n v="109"/>
    <n v="1"/>
    <n v="60"/>
    <n v="1680"/>
    <x v="1"/>
    <x v="0"/>
    <x v="8"/>
    <s v="EUR"/>
    <n v="1973.9"/>
  </r>
  <r>
    <s v="1040DE"/>
    <n v="45444"/>
    <d v="2018-10-15T00:00:00"/>
    <n v="8060"/>
    <n v="108"/>
    <m/>
    <n v="60"/>
    <n v="1680"/>
    <x v="1"/>
    <x v="3"/>
    <x v="11"/>
    <s v="EUR"/>
    <n v="1973.9"/>
  </r>
  <r>
    <s v="1040DE"/>
    <n v="45444"/>
    <d v="2018-10-15T00:00:00"/>
    <n v="8060"/>
    <n v="109"/>
    <m/>
    <n v="70"/>
    <n v="1960"/>
    <x v="1"/>
    <x v="3"/>
    <x v="8"/>
    <s v="EUR"/>
    <n v="2302.88"/>
  </r>
  <r>
    <s v="1040DE"/>
    <n v="45444"/>
    <d v="2018-10-15T00:00:00"/>
    <n v="8060"/>
    <n v="110"/>
    <m/>
    <n v="60"/>
    <n v="3600"/>
    <x v="1"/>
    <x v="3"/>
    <x v="4"/>
    <s v="EUR"/>
    <n v="4229.78"/>
  </r>
  <r>
    <s v="1040DE"/>
    <n v="45446"/>
    <d v="2018-10-15T00:00:00"/>
    <n v="8050"/>
    <n v="111"/>
    <m/>
    <n v="80"/>
    <n v="1600"/>
    <x v="1"/>
    <x v="0"/>
    <x v="7"/>
    <s v="EUR"/>
    <n v="1879.9"/>
  </r>
  <r>
    <s v="1040DE"/>
    <n v="45446"/>
    <d v="2018-10-15T00:00:00"/>
    <n v="8050"/>
    <n v="108"/>
    <m/>
    <n v="50"/>
    <n v="1400"/>
    <x v="1"/>
    <x v="0"/>
    <x v="11"/>
    <s v="EUR"/>
    <n v="1644.91"/>
  </r>
  <r>
    <s v="1040DE"/>
    <n v="44015"/>
    <d v="2018-10-10T00:00:00"/>
    <n v="8060"/>
    <n v="108"/>
    <m/>
    <n v="60"/>
    <n v="1680"/>
    <x v="1"/>
    <x v="3"/>
    <x v="11"/>
    <s v="EUR"/>
    <n v="1973.9"/>
  </r>
  <r>
    <s v="1040DE"/>
    <n v="44015"/>
    <d v="2018-10-10T00:00:00"/>
    <n v="8060"/>
    <n v="109"/>
    <m/>
    <n v="70"/>
    <n v="1960"/>
    <x v="1"/>
    <x v="3"/>
    <x v="8"/>
    <s v="EUR"/>
    <n v="2302.88"/>
  </r>
  <r>
    <s v="1040DE"/>
    <n v="44017"/>
    <d v="2018-10-13T00:00:00"/>
    <n v="8060"/>
    <n v="108"/>
    <m/>
    <n v="70"/>
    <n v="1960"/>
    <x v="1"/>
    <x v="3"/>
    <x v="11"/>
    <s v="EUR"/>
    <n v="2302.88"/>
  </r>
  <r>
    <s v="1040DE"/>
    <n v="44017"/>
    <d v="2018-10-13T00:00:00"/>
    <n v="8060"/>
    <n v="109"/>
    <m/>
    <n v="70"/>
    <n v="1960"/>
    <x v="1"/>
    <x v="3"/>
    <x v="8"/>
    <s v="EUR"/>
    <n v="2302.88"/>
  </r>
  <r>
    <s v="1040DE"/>
    <n v="44016"/>
    <d v="2018-10-14T00:00:00"/>
    <n v="8050"/>
    <n v="108"/>
    <m/>
    <n v="70"/>
    <n v="1960"/>
    <x v="1"/>
    <x v="0"/>
    <x v="11"/>
    <s v="EUR"/>
    <n v="2302.88"/>
  </r>
  <r>
    <s v="1040DE"/>
    <n v="44016"/>
    <d v="2018-10-14T00:00:00"/>
    <n v="8050"/>
    <n v="109"/>
    <n v="1"/>
    <n v="60"/>
    <n v="1680"/>
    <x v="1"/>
    <x v="0"/>
    <x v="8"/>
    <s v="EUR"/>
    <n v="1973.9"/>
  </r>
  <r>
    <s v="1040DE"/>
    <n v="44016"/>
    <d v="2018-10-14T00:00:00"/>
    <n v="8050"/>
    <n v="110"/>
    <m/>
    <n v="50"/>
    <n v="3000"/>
    <x v="1"/>
    <x v="0"/>
    <x v="4"/>
    <s v="EUR"/>
    <n v="3524.82"/>
  </r>
  <r>
    <s v="1040DE"/>
    <n v="48097"/>
    <d v="2018-10-17T00:00:00"/>
    <n v="8060"/>
    <n v="109"/>
    <m/>
    <n v="60"/>
    <n v="1680"/>
    <x v="1"/>
    <x v="3"/>
    <x v="8"/>
    <s v="EUR"/>
    <n v="1973.9"/>
  </r>
  <r>
    <s v="1040DE"/>
    <n v="48097"/>
    <d v="2018-10-17T00:00:00"/>
    <n v="8060"/>
    <n v="110"/>
    <m/>
    <n v="70"/>
    <n v="4200"/>
    <x v="1"/>
    <x v="3"/>
    <x v="4"/>
    <s v="EUR"/>
    <n v="4934.74"/>
  </r>
  <r>
    <s v="1040DE"/>
    <n v="48099"/>
    <d v="2018-10-17T00:00:00"/>
    <n v="8050"/>
    <n v="109"/>
    <n v="1"/>
    <n v="60"/>
    <n v="1680"/>
    <x v="1"/>
    <x v="0"/>
    <x v="8"/>
    <s v="EUR"/>
    <n v="1973.9"/>
  </r>
  <r>
    <s v="1040DE"/>
    <n v="48099"/>
    <d v="2018-10-17T00:00:00"/>
    <n v="8050"/>
    <n v="110"/>
    <m/>
    <n v="60"/>
    <n v="3600"/>
    <x v="1"/>
    <x v="0"/>
    <x v="4"/>
    <s v="EUR"/>
    <n v="4229.78"/>
  </r>
  <r>
    <s v="1040DE"/>
    <n v="48099"/>
    <d v="2018-10-17T00:00:00"/>
    <n v="8050"/>
    <n v="111"/>
    <m/>
    <n v="60"/>
    <n v="1200"/>
    <x v="1"/>
    <x v="0"/>
    <x v="7"/>
    <s v="EUR"/>
    <n v="1409.93"/>
  </r>
  <r>
    <s v="1040DE"/>
    <n v="48101"/>
    <d v="2018-10-17T00:00:00"/>
    <n v="8060"/>
    <n v="109"/>
    <m/>
    <n v="60"/>
    <n v="1680"/>
    <x v="1"/>
    <x v="3"/>
    <x v="8"/>
    <s v="EUR"/>
    <n v="1973.9"/>
  </r>
  <r>
    <s v="1040DE"/>
    <n v="48101"/>
    <d v="2018-10-17T00:00:00"/>
    <n v="8060"/>
    <n v="110"/>
    <m/>
    <n v="50"/>
    <n v="3000"/>
    <x v="1"/>
    <x v="3"/>
    <x v="4"/>
    <s v="EUR"/>
    <n v="3524.82"/>
  </r>
  <r>
    <s v="1040DE"/>
    <n v="45427"/>
    <d v="2018-10-21T00:00:00"/>
    <n v="8050"/>
    <n v="108"/>
    <m/>
    <n v="70"/>
    <n v="1960"/>
    <x v="1"/>
    <x v="0"/>
    <x v="11"/>
    <s v="EUR"/>
    <n v="2302.88"/>
  </r>
  <r>
    <s v="1040DE"/>
    <n v="45427"/>
    <d v="2018-10-21T00:00:00"/>
    <n v="8050"/>
    <n v="109"/>
    <m/>
    <n v="60"/>
    <n v="1680"/>
    <x v="1"/>
    <x v="0"/>
    <x v="8"/>
    <s v="EUR"/>
    <n v="1973.9"/>
  </r>
  <r>
    <s v="1040DE"/>
    <n v="45429"/>
    <d v="2018-10-21T00:00:00"/>
    <n v="8060"/>
    <n v="108"/>
    <m/>
    <n v="80"/>
    <n v="2240"/>
    <x v="1"/>
    <x v="3"/>
    <x v="11"/>
    <s v="EUR"/>
    <n v="2631.86"/>
  </r>
  <r>
    <s v="1040DE"/>
    <n v="45429"/>
    <d v="2018-10-21T00:00:00"/>
    <n v="8060"/>
    <n v="109"/>
    <n v="2"/>
    <n v="80"/>
    <n v="2240"/>
    <x v="1"/>
    <x v="3"/>
    <x v="8"/>
    <s v="EUR"/>
    <n v="2631.86"/>
  </r>
  <r>
    <s v="1040DE"/>
    <n v="45429"/>
    <d v="2018-10-21T00:00:00"/>
    <n v="8060"/>
    <n v="110"/>
    <m/>
    <n v="50"/>
    <n v="3000"/>
    <x v="1"/>
    <x v="3"/>
    <x v="4"/>
    <s v="EUR"/>
    <n v="3524.82"/>
  </r>
  <r>
    <s v="1040DE"/>
    <n v="45431"/>
    <d v="2018-10-21T00:00:00"/>
    <n v="8050"/>
    <n v="111"/>
    <m/>
    <n v="60"/>
    <n v="1200"/>
    <x v="1"/>
    <x v="0"/>
    <x v="7"/>
    <s v="EUR"/>
    <n v="1409.93"/>
  </r>
  <r>
    <s v="1040DE"/>
    <n v="45431"/>
    <d v="2018-10-21T00:00:00"/>
    <n v="8050"/>
    <n v="108"/>
    <m/>
    <n v="60"/>
    <n v="1680"/>
    <x v="1"/>
    <x v="0"/>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1ECA87-72CD-4C46-8D2E-7910ADA02EC0}" name="RegionChart" cacheId="137"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S22:T27" firstHeaderRow="1" firstDataRow="1" firstDataCol="1"/>
  <pivotFields count="14">
    <pivotField showAll="0"/>
    <pivotField showAll="0"/>
    <pivotField numFmtId="14" showAll="0"/>
    <pivotField showAll="0"/>
    <pivotField showAll="0"/>
    <pivotField showAll="0"/>
    <pivotField showAll="0"/>
    <pivotField showAll="0"/>
    <pivotField showAll="0"/>
    <pivotField axis="axisRow" showAll="0" sortType="descending">
      <items count="11">
        <item m="1" x="4"/>
        <item m="1" x="7"/>
        <item x="1"/>
        <item x="3"/>
        <item m="1" x="8"/>
        <item x="2"/>
        <item m="1" x="5"/>
        <item x="0"/>
        <item m="1" x="6"/>
        <item m="1" x="9"/>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dragToRow="0" dragToCol="0" dragToPage="0" showAll="0" defaultSubtotal="0"/>
  </pivotFields>
  <rowFields count="1">
    <field x="9"/>
  </rowFields>
  <rowItems count="5">
    <i>
      <x v="2"/>
    </i>
    <i>
      <x v="7"/>
    </i>
    <i>
      <x v="3"/>
    </i>
    <i>
      <x v="5"/>
    </i>
    <i t="grand">
      <x/>
    </i>
  </rowItems>
  <colItems count="1">
    <i/>
  </colItems>
  <dataFields count="1">
    <dataField name="Sum of Sales US Dollar" fld="1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008E9E-36EB-4816-87A2-88617F6CD683}" name="PTArticle" cacheId="137"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rowHeaderCaption="Article">
  <location ref="X5:Z18" firstHeaderRow="0" firstDataRow="1" firstDataCol="1"/>
  <pivotFields count="14">
    <pivotField showAll="0"/>
    <pivotField showAll="0"/>
    <pivotField numFmtId="14" showAll="0"/>
    <pivotField showAll="0"/>
    <pivotField showAll="0"/>
    <pivotField showAll="0"/>
    <pivotField dataField="1" showAll="0"/>
    <pivotField showAll="0"/>
    <pivotField showAll="0">
      <items count="46">
        <item h="1" m="1" x="27"/>
        <item h="1" m="1" x="44"/>
        <item h="1" m="1" x="18"/>
        <item h="1" m="1" x="3"/>
        <item h="1" m="1" x="12"/>
        <item h="1" m="1" x="35"/>
        <item h="1" m="1" x="30"/>
        <item h="1" m="1" x="20"/>
        <item h="1" m="1" x="36"/>
        <item h="1" m="1" x="22"/>
        <item h="1" m="1" x="16"/>
        <item h="1" m="1" x="28"/>
        <item h="1" m="1" x="7"/>
        <item h="1" m="1" x="13"/>
        <item h="1" m="1" x="39"/>
        <item h="1" m="1" x="8"/>
        <item h="1" m="1" x="31"/>
        <item h="1" m="1" x="26"/>
        <item h="1" m="1" x="29"/>
        <item h="1" m="1" x="19"/>
        <item h="1" m="1" x="17"/>
        <item h="1" m="1" x="4"/>
        <item h="1" m="1" x="32"/>
        <item h="1" m="1" x="15"/>
        <item h="1" m="1" x="2"/>
        <item h="1" m="1" x="24"/>
        <item h="1" m="1" x="11"/>
        <item h="1" m="1" x="5"/>
        <item h="1" m="1" x="6"/>
        <item h="1" m="1" x="41"/>
        <item h="1" m="1" x="43"/>
        <item h="1" m="1" x="37"/>
        <item h="1" m="1" x="38"/>
        <item h="1" m="1" x="10"/>
        <item h="1" m="1" x="34"/>
        <item h="1" m="1" x="40"/>
        <item h="1" m="1" x="33"/>
        <item h="1" m="1" x="42"/>
        <item h="1" m="1" x="14"/>
        <item h="1" m="1" x="25"/>
        <item h="1" m="1" x="9"/>
        <item h="1" m="1" x="21"/>
        <item h="1" m="1" x="23"/>
        <item x="0"/>
        <item x="1"/>
        <item t="default"/>
      </items>
    </pivotField>
    <pivotField showAll="0" sortType="descending">
      <items count="11">
        <item x="0"/>
        <item x="2"/>
        <item x="3"/>
        <item x="1"/>
        <item m="1" x="5"/>
        <item m="1" x="8"/>
        <item m="1" x="4"/>
        <item m="1" x="7"/>
        <item m="1" x="6"/>
        <item m="1" x="9"/>
        <item t="default"/>
      </items>
      <autoSortScope>
        <pivotArea dataOnly="0" outline="0" fieldPosition="0">
          <references count="1">
            <reference field="4294967294" count="1" selected="0">
              <x v="0"/>
            </reference>
          </references>
        </pivotArea>
      </autoSortScope>
    </pivotField>
    <pivotField axis="axisRow" showAll="0" sortType="descending">
      <items count="22">
        <item x="11"/>
        <item m="1" x="19"/>
        <item m="1" x="13"/>
        <item m="1" x="16"/>
        <item m="1" x="20"/>
        <item m="1" x="18"/>
        <item m="1" x="14"/>
        <item m="1" x="15"/>
        <item x="6"/>
        <item x="3"/>
        <item x="2"/>
        <item x="1"/>
        <item x="9"/>
        <item x="0"/>
        <item x="4"/>
        <item x="5"/>
        <item x="7"/>
        <item x="8"/>
        <item x="10"/>
        <item m="1" x="12"/>
        <item m="1" x="17"/>
        <item t="default"/>
      </items>
      <autoSortScope>
        <pivotArea dataOnly="0" outline="0" fieldPosition="0">
          <references count="1">
            <reference field="4294967294" count="1" selected="0">
              <x v="0"/>
            </reference>
          </references>
        </pivotArea>
      </autoSortScope>
    </pivotField>
    <pivotField showAll="0"/>
    <pivotField dataField="1" showAll="0"/>
    <pivotField dragToRow="0" dragToCol="0" dragToPage="0" showAll="0" defaultSubtotal="0"/>
  </pivotFields>
  <rowFields count="1">
    <field x="10"/>
  </rowFields>
  <rowItems count="13">
    <i>
      <x v="14"/>
    </i>
    <i>
      <x v="15"/>
    </i>
    <i>
      <x v="13"/>
    </i>
    <i>
      <x v="17"/>
    </i>
    <i>
      <x/>
    </i>
    <i>
      <x v="16"/>
    </i>
    <i>
      <x v="11"/>
    </i>
    <i>
      <x v="9"/>
    </i>
    <i>
      <x v="12"/>
    </i>
    <i>
      <x v="10"/>
    </i>
    <i>
      <x v="18"/>
    </i>
    <i>
      <x v="8"/>
    </i>
    <i t="grand">
      <x/>
    </i>
  </rowItems>
  <colFields count="1">
    <field x="-2"/>
  </colFields>
  <colItems count="2">
    <i>
      <x/>
    </i>
    <i i="1">
      <x v="1"/>
    </i>
  </colItems>
  <dataFields count="2">
    <dataField name="$ Sales" fld="12" baseField="0" baseItem="0" numFmtId="41"/>
    <dataField name=" Quantity" fld="6" baseField="0" baseItem="0" numFmtId="1"/>
  </dataFields>
  <formats count="12">
    <format dxfId="35">
      <pivotArea dataOnly="0" labelOnly="1" outline="0" fieldPosition="0">
        <references count="1">
          <reference field="4294967294" count="1">
            <x v="0"/>
          </reference>
        </references>
      </pivotArea>
    </format>
    <format dxfId="34">
      <pivotArea field="9" type="button" dataOnly="0" labelOnly="1" outline="0"/>
    </format>
    <format dxfId="33">
      <pivotArea dataOnly="0" labelOnly="1" outline="0" fieldPosition="0">
        <references count="1">
          <reference field="4294967294" count="1">
            <x v="0"/>
          </reference>
        </references>
      </pivotArea>
    </format>
    <format dxfId="32">
      <pivotArea dataOnly="0" labelOnly="1" outline="0" fieldPosition="0">
        <references count="1">
          <reference field="4294967294" count="1">
            <x v="1"/>
          </reference>
        </references>
      </pivotArea>
    </format>
    <format dxfId="31">
      <pivotArea field="10" type="button" dataOnly="0" labelOnly="1" outline="0" axis="axisRow" fieldPosition="0"/>
    </format>
    <format dxfId="30">
      <pivotArea dataOnly="0" labelOnly="1" outline="0" fieldPosition="0">
        <references count="1">
          <reference field="4294967294" count="2">
            <x v="0"/>
            <x v="1"/>
          </reference>
        </references>
      </pivotArea>
    </format>
    <format dxfId="29">
      <pivotArea collapsedLevelsAreSubtotals="1" fieldPosition="0">
        <references count="1">
          <reference field="10" count="11">
            <x v="1"/>
            <x v="2"/>
            <x v="3"/>
            <x v="4"/>
            <x v="5"/>
            <x v="6"/>
            <x v="7"/>
            <x v="8"/>
            <x v="9"/>
            <x v="10"/>
            <x v="11"/>
          </reference>
        </references>
      </pivotArea>
    </format>
    <format dxfId="28">
      <pivotArea dataOnly="0" labelOnly="1" fieldPosition="0">
        <references count="1">
          <reference field="10" count="11">
            <x v="1"/>
            <x v="2"/>
            <x v="3"/>
            <x v="4"/>
            <x v="5"/>
            <x v="6"/>
            <x v="7"/>
            <x v="8"/>
            <x v="9"/>
            <x v="10"/>
            <x v="11"/>
          </reference>
        </references>
      </pivotArea>
    </format>
    <format dxfId="27">
      <pivotArea collapsedLevelsAreSubtotals="1" fieldPosition="0">
        <references count="1">
          <reference field="10" count="12">
            <x v="0"/>
            <x v="1"/>
            <x v="2"/>
            <x v="3"/>
            <x v="4"/>
            <x v="5"/>
            <x v="6"/>
            <x v="7"/>
            <x v="8"/>
            <x v="9"/>
            <x v="10"/>
            <x v="12"/>
          </reference>
        </references>
      </pivotArea>
    </format>
    <format dxfId="26">
      <pivotArea dataOnly="0" labelOnly="1" fieldPosition="0">
        <references count="1">
          <reference field="10" count="12">
            <x v="0"/>
            <x v="1"/>
            <x v="2"/>
            <x v="3"/>
            <x v="4"/>
            <x v="5"/>
            <x v="6"/>
            <x v="7"/>
            <x v="8"/>
            <x v="9"/>
            <x v="10"/>
            <x v="12"/>
          </reference>
        </references>
      </pivotArea>
    </format>
    <format dxfId="25">
      <pivotArea outline="0" collapsedLevelsAreSubtotals="1" fieldPosition="0">
        <references count="1">
          <reference field="4294967294" count="1" selected="0">
            <x v="0"/>
          </reference>
        </references>
      </pivotArea>
    </format>
    <format dxfId="24">
      <pivotArea outline="0" collapsedLevelsAreSubtotals="1"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rojectStyle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EF770A-5577-4BFF-AABE-B9A375B2DC63}" name="PTRegion" cacheId="137"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rowHeaderCaption="Customer">
  <location ref="S5:U10" firstHeaderRow="0" firstDataRow="1" firstDataCol="1"/>
  <pivotFields count="14">
    <pivotField showAll="0"/>
    <pivotField showAll="0"/>
    <pivotField numFmtId="14" showAll="0"/>
    <pivotField showAll="0"/>
    <pivotField showAll="0"/>
    <pivotField showAll="0"/>
    <pivotField showAll="0"/>
    <pivotField showAll="0"/>
    <pivotField showAll="0"/>
    <pivotField axis="axisRow" showAll="0" sortType="descending">
      <items count="11">
        <item x="0"/>
        <item x="2"/>
        <item x="3"/>
        <item x="1"/>
        <item m="1" x="5"/>
        <item m="1" x="8"/>
        <item m="1" x="4"/>
        <item m="1" x="7"/>
        <item m="1" x="6"/>
        <item m="1" x="9"/>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dragToRow="0" dragToCol="0" dragToPage="0" showAll="0" defaultSubtotal="0"/>
  </pivotFields>
  <rowFields count="1">
    <field x="9"/>
  </rowFields>
  <rowItems count="5">
    <i>
      <x v="3"/>
    </i>
    <i>
      <x/>
    </i>
    <i>
      <x v="2"/>
    </i>
    <i>
      <x v="1"/>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12">
    <format dxfId="47">
      <pivotArea dataOnly="0" labelOnly="1" outline="0" fieldPosition="0">
        <references count="1">
          <reference field="4294967294" count="1">
            <x v="0"/>
          </reference>
        </references>
      </pivotArea>
    </format>
    <format dxfId="46">
      <pivotArea outline="0" collapsedLevelsAreSubtotals="1" fieldPosition="0">
        <references count="1">
          <reference field="4294967294" count="1" selected="0">
            <x v="0"/>
          </reference>
        </references>
      </pivotArea>
    </format>
    <format dxfId="45">
      <pivotArea outline="0" fieldPosition="0">
        <references count="1">
          <reference field="4294967294" count="1">
            <x v="1"/>
          </reference>
        </references>
      </pivotArea>
    </format>
    <format dxfId="44">
      <pivotArea outline="0" collapsedLevelsAreSubtotals="1" fieldPosition="0">
        <references count="1">
          <reference field="4294967294" count="1" selected="0">
            <x v="1"/>
          </reference>
        </references>
      </pivotArea>
    </format>
    <format dxfId="43">
      <pivotArea collapsedLevelsAreSubtotals="1" fieldPosition="0">
        <references count="1">
          <reference field="9" count="3">
            <x v="0"/>
            <x v="2"/>
            <x v="3"/>
          </reference>
        </references>
      </pivotArea>
    </format>
    <format dxfId="42">
      <pivotArea dataOnly="0" labelOnly="1" fieldPosition="0">
        <references count="1">
          <reference field="9" count="3">
            <x v="0"/>
            <x v="2"/>
            <x v="3"/>
          </reference>
        </references>
      </pivotArea>
    </format>
    <format dxfId="41">
      <pivotArea field="9" type="button" dataOnly="0" labelOnly="1" outline="0" axis="axisRow" fieldPosition="0"/>
    </format>
    <format dxfId="40">
      <pivotArea dataOnly="0" labelOnly="1" outline="0" fieldPosition="0">
        <references count="1">
          <reference field="4294967294" count="2">
            <x v="0"/>
            <x v="1"/>
          </reference>
        </references>
      </pivotArea>
    </format>
    <format dxfId="39">
      <pivotArea collapsedLevelsAreSubtotals="1" fieldPosition="0">
        <references count="1">
          <reference field="9" count="1">
            <x v="5"/>
          </reference>
        </references>
      </pivotArea>
    </format>
    <format dxfId="38">
      <pivotArea dataOnly="0" labelOnly="1" fieldPosition="0">
        <references count="1">
          <reference field="9" count="1">
            <x v="5"/>
          </reference>
        </references>
      </pivotArea>
    </format>
    <format dxfId="37">
      <pivotArea collapsedLevelsAreSubtotals="1" fieldPosition="0">
        <references count="1">
          <reference field="9" count="0"/>
        </references>
      </pivotArea>
    </format>
    <format dxfId="36">
      <pivotArea dataOnly="0" labelOnly="1" fieldPosition="0">
        <references count="1">
          <reference field="9" count="0"/>
        </references>
      </pivotArea>
    </format>
  </formats>
  <pivotTableStyleInfo name="ProjectStyle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9B700B-0557-4987-B079-5A5698EBE4CB}" name="PTManager" cacheId="137" applyNumberFormats="0" applyBorderFormats="0" applyFontFormats="0" applyPatternFormats="0" applyAlignmentFormats="0" applyWidthHeightFormats="1" dataCaption="Values" updatedVersion="8" minRefreshableVersion="3" showDrill="0" itemPrintTitles="1" createdVersion="7" indent="0" outline="1" outlineData="1" multipleFieldFilters="0" chartFormat="1" rowHeaderCaption="Row Labels">
  <location ref="AK3:AM48"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sortType="descending">
      <items count="46">
        <item m="1" x="15"/>
        <item m="1" x="4"/>
        <item m="1" x="27"/>
        <item m="1" x="13"/>
        <item m="1" x="5"/>
        <item m="1" x="8"/>
        <item m="1" x="25"/>
        <item m="1" x="42"/>
        <item m="1" x="21"/>
        <item m="1" x="11"/>
        <item m="1" x="29"/>
        <item m="1" x="41"/>
        <item m="1" x="9"/>
        <item m="1" x="2"/>
        <item m="1" x="3"/>
        <item m="1" x="24"/>
        <item m="1" x="32"/>
        <item m="1" x="14"/>
        <item m="1" x="34"/>
        <item m="1" x="17"/>
        <item m="1" x="40"/>
        <item m="1" x="33"/>
        <item m="1" x="23"/>
        <item m="1" x="6"/>
        <item m="1" x="43"/>
        <item m="1" x="37"/>
        <item m="1" x="44"/>
        <item m="1" x="18"/>
        <item m="1" x="31"/>
        <item m="1" x="38"/>
        <item m="1" x="10"/>
        <item m="1" x="16"/>
        <item m="1" x="19"/>
        <item m="1" x="28"/>
        <item m="1" x="35"/>
        <item m="1" x="20"/>
        <item m="1" x="36"/>
        <item m="1" x="12"/>
        <item m="1" x="39"/>
        <item m="1" x="7"/>
        <item m="1" x="30"/>
        <item m="1" x="26"/>
        <item m="1" x="22"/>
        <item x="0"/>
        <item x="1"/>
        <item t="default"/>
      </items>
      <autoSortScope>
        <pivotArea dataOnly="0" outline="0" fieldPosition="0">
          <references count="1">
            <reference field="4294967294" count="1" selected="0">
              <x v="0"/>
            </reference>
          </references>
        </pivotArea>
      </autoSortScope>
    </pivotField>
    <pivotField axis="axisRow" subtotalTop="0" showAll="0">
      <items count="11">
        <item x="0"/>
        <item x="2"/>
        <item x="3"/>
        <item x="1"/>
        <item m="1" x="5"/>
        <item m="1" x="8"/>
        <item m="1" x="4"/>
        <item m="1" x="7"/>
        <item m="1" x="6"/>
        <item m="1" x="9"/>
        <item t="default"/>
      </items>
    </pivotField>
    <pivotField axis="axisRow" subtotalTop="0" showAll="0" sortType="descending">
      <items count="22">
        <item x="11"/>
        <item m="1" x="19"/>
        <item m="1" x="13"/>
        <item m="1" x="16"/>
        <item m="1" x="20"/>
        <item m="1" x="18"/>
        <item m="1" x="14"/>
        <item m="1" x="15"/>
        <item x="6"/>
        <item x="3"/>
        <item x="2"/>
        <item x="1"/>
        <item x="9"/>
        <item x="0"/>
        <item x="4"/>
        <item x="5"/>
        <item x="7"/>
        <item x="8"/>
        <item x="10"/>
        <item m="1" x="12"/>
        <item m="1" x="17"/>
        <item t="default"/>
      </items>
      <autoSortScope>
        <pivotArea dataOnly="0" outline="0" fieldPosition="0">
          <references count="1">
            <reference field="4294967294" count="1" selected="0">
              <x v="0"/>
            </reference>
          </references>
        </pivotArea>
      </autoSortScope>
    </pivotField>
    <pivotField subtotalTop="0" showAll="0"/>
    <pivotField dataField="1" subtotalTop="0" showAll="0"/>
    <pivotField subtotalTop="0" dragToRow="0" dragToCol="0" dragToPage="0" showAll="0" defaultSubtotal="0"/>
  </pivotFields>
  <rowFields count="3">
    <field x="8"/>
    <field x="9"/>
    <field x="10"/>
  </rowFields>
  <rowItems count="45">
    <i>
      <x v="43"/>
    </i>
    <i r="1">
      <x/>
    </i>
    <i r="2">
      <x v="13"/>
    </i>
    <i r="2">
      <x/>
    </i>
    <i r="2">
      <x v="15"/>
    </i>
    <i r="2">
      <x v="11"/>
    </i>
    <i r="2">
      <x v="12"/>
    </i>
    <i r="2">
      <x v="18"/>
    </i>
    <i r="2">
      <x v="9"/>
    </i>
    <i r="2">
      <x v="10"/>
    </i>
    <i t="default" r="1">
      <x/>
    </i>
    <i r="1">
      <x v="1"/>
    </i>
    <i r="2">
      <x v="15"/>
    </i>
    <i r="2">
      <x v="10"/>
    </i>
    <i r="2">
      <x v="18"/>
    </i>
    <i r="2">
      <x v="9"/>
    </i>
    <i r="2">
      <x v="8"/>
    </i>
    <i t="default" r="1">
      <x v="1"/>
    </i>
    <i r="1">
      <x v="3"/>
    </i>
    <i r="2">
      <x v="14"/>
    </i>
    <i r="2">
      <x v="15"/>
    </i>
    <i r="2">
      <x v="13"/>
    </i>
    <i r="2">
      <x v="16"/>
    </i>
    <i r="2">
      <x v="17"/>
    </i>
    <i r="2">
      <x v="11"/>
    </i>
    <i r="2">
      <x v="9"/>
    </i>
    <i r="2">
      <x v="8"/>
    </i>
    <i r="2">
      <x v="12"/>
    </i>
    <i r="2">
      <x v="10"/>
    </i>
    <i t="default" r="1">
      <x v="3"/>
    </i>
    <i t="default">
      <x v="43"/>
    </i>
    <i>
      <x v="44"/>
    </i>
    <i r="1">
      <x/>
    </i>
    <i r="2">
      <x v="14"/>
    </i>
    <i r="2">
      <x/>
    </i>
    <i r="2">
      <x v="17"/>
    </i>
    <i r="2">
      <x v="16"/>
    </i>
    <i t="default" r="1">
      <x/>
    </i>
    <i r="1">
      <x v="2"/>
    </i>
    <i r="2">
      <x v="14"/>
    </i>
    <i r="2">
      <x v="17"/>
    </i>
    <i r="2">
      <x/>
    </i>
    <i t="default" r="1">
      <x v="2"/>
    </i>
    <i t="default">
      <x v="44"/>
    </i>
    <i t="grand">
      <x/>
    </i>
  </rowItems>
  <colFields count="1">
    <field x="-2"/>
  </colFields>
  <colItems count="2">
    <i>
      <x/>
    </i>
    <i i="1">
      <x v="1"/>
    </i>
  </colItems>
  <dataFields count="2">
    <dataField name=" Sales US Dollar" fld="12" baseField="0" baseItem="0"/>
    <dataField name=" Quantity" fld="6" baseField="0" baseItem="0"/>
  </dataFields>
  <formats count="4">
    <format dxfId="14">
      <pivotArea field="9" type="button" dataOnly="0" labelOnly="1" outline="0" axis="axisRow" fieldPosition="1"/>
    </format>
    <format dxfId="15">
      <pivotArea dataOnly="0" labelOnly="1" outline="0" fieldPosition="0">
        <references count="1">
          <reference field="4294967294" count="1">
            <x v="1"/>
          </reference>
        </references>
      </pivotArea>
    </format>
    <format dxfId="16">
      <pivotArea dataOnly="0" labelOnly="1" outline="0" fieldPosition="0">
        <references count="1">
          <reference field="4294967294" count="1">
            <x v="0"/>
          </reference>
        </references>
      </pivotArea>
    </format>
    <format dxfId="17">
      <pivotArea outline="0" collapsedLevelsAreSubtotals="1" fieldPosition="0"/>
    </format>
  </formats>
  <pivotTableStyleInfo name="ProjectStyle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D831C8-6F22-477D-B7BE-3650DBC4C669}" name="PTReject" cacheId="137"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rowHeaderCaption="Article">
  <location ref="AC5:AE18" firstHeaderRow="0" firstDataRow="1" firstDataCol="1"/>
  <pivotFields count="14">
    <pivotField showAll="0"/>
    <pivotField showAll="0"/>
    <pivotField numFmtId="14" showAll="0"/>
    <pivotField showAll="0"/>
    <pivotField showAll="0"/>
    <pivotField dataField="1" showAll="0"/>
    <pivotField showAll="0"/>
    <pivotField showAll="0"/>
    <pivotField showAll="0">
      <items count="46">
        <item h="1" m="1" x="27"/>
        <item h="1" m="1" x="44"/>
        <item h="1" m="1" x="18"/>
        <item h="1" m="1" x="3"/>
        <item h="1" m="1" x="12"/>
        <item h="1" m="1" x="35"/>
        <item h="1" m="1" x="30"/>
        <item h="1" m="1" x="20"/>
        <item h="1" m="1" x="36"/>
        <item h="1" m="1" x="22"/>
        <item h="1" m="1" x="16"/>
        <item h="1" m="1" x="28"/>
        <item h="1" m="1" x="7"/>
        <item h="1" m="1" x="13"/>
        <item h="1" m="1" x="39"/>
        <item h="1" m="1" x="8"/>
        <item h="1" m="1" x="31"/>
        <item h="1" m="1" x="26"/>
        <item h="1" m="1" x="29"/>
        <item h="1" m="1" x="19"/>
        <item h="1" m="1" x="17"/>
        <item h="1" m="1" x="4"/>
        <item h="1" m="1" x="32"/>
        <item h="1" m="1" x="15"/>
        <item h="1" m="1" x="2"/>
        <item h="1" m="1" x="24"/>
        <item h="1" m="1" x="11"/>
        <item h="1" m="1" x="5"/>
        <item h="1" m="1" x="6"/>
        <item h="1" m="1" x="41"/>
        <item h="1" m="1" x="43"/>
        <item h="1" m="1" x="37"/>
        <item h="1" m="1" x="38"/>
        <item h="1" m="1" x="10"/>
        <item h="1" m="1" x="34"/>
        <item h="1" m="1" x="40"/>
        <item h="1" m="1" x="33"/>
        <item h="1" m="1" x="42"/>
        <item h="1" m="1" x="14"/>
        <item h="1" m="1" x="25"/>
        <item h="1" m="1" x="9"/>
        <item h="1" m="1" x="21"/>
        <item h="1" m="1" x="23"/>
        <item x="0"/>
        <item x="1"/>
        <item t="default"/>
      </items>
    </pivotField>
    <pivotField showAll="0">
      <items count="11">
        <item x="0"/>
        <item x="2"/>
        <item x="3"/>
        <item x="1"/>
        <item m="1" x="5"/>
        <item m="1" x="8"/>
        <item m="1" x="4"/>
        <item m="1" x="7"/>
        <item m="1" x="6"/>
        <item m="1" x="9"/>
        <item t="default"/>
      </items>
    </pivotField>
    <pivotField axis="axisRow" showAll="0" sortType="descending">
      <items count="22">
        <item x="9"/>
        <item x="1"/>
        <item x="2"/>
        <item x="3"/>
        <item x="6"/>
        <item m="1" x="15"/>
        <item m="1" x="14"/>
        <item m="1" x="18"/>
        <item m="1" x="20"/>
        <item m="1" x="16"/>
        <item m="1" x="13"/>
        <item m="1" x="19"/>
        <item x="11"/>
        <item x="0"/>
        <item x="4"/>
        <item x="5"/>
        <item x="7"/>
        <item x="8"/>
        <item x="10"/>
        <item m="1" x="12"/>
        <item m="1" x="17"/>
        <item t="default"/>
      </items>
      <autoSortScope>
        <pivotArea dataOnly="0" outline="0" fieldPosition="0">
          <references count="1">
            <reference field="4294967294" count="1" selected="0">
              <x v="0"/>
            </reference>
          </references>
        </pivotArea>
      </autoSortScope>
    </pivotField>
    <pivotField showAll="0"/>
    <pivotField showAll="0"/>
    <pivotField dataField="1" dragToRow="0" dragToCol="0" dragToPage="0" showAll="0" defaultSubtotal="0"/>
  </pivotFields>
  <rowFields count="1">
    <field x="10"/>
  </rowFields>
  <rowItems count="13">
    <i>
      <x v="17"/>
    </i>
    <i>
      <x v="14"/>
    </i>
    <i>
      <x v="12"/>
    </i>
    <i>
      <x v="2"/>
    </i>
    <i>
      <x v="15"/>
    </i>
    <i>
      <x v="3"/>
    </i>
    <i>
      <x v="1"/>
    </i>
    <i>
      <x v="13"/>
    </i>
    <i>
      <x v="4"/>
    </i>
    <i>
      <x v="18"/>
    </i>
    <i>
      <x/>
    </i>
    <i>
      <x v="16"/>
    </i>
    <i t="grand">
      <x/>
    </i>
  </rowItems>
  <colFields count="1">
    <field x="-2"/>
  </colFields>
  <colItems count="2">
    <i>
      <x/>
    </i>
    <i i="1">
      <x v="1"/>
    </i>
  </colItems>
  <dataFields count="2">
    <dataField name=" Reject" fld="5" subtotal="count" baseField="0" baseItem="0"/>
    <dataField name=" Reject %" fld="13" baseField="0" baseItem="0" numFmtId="165"/>
  </dataFields>
  <formats count="3">
    <format dxfId="11">
      <pivotArea field="9" type="button" dataOnly="0" labelOnly="1" outline="0"/>
    </format>
    <format dxfId="12">
      <pivotArea outline="0" collapsedLevelsAreSubtotals="1" fieldPosition="0">
        <references count="1">
          <reference field="4294967294" count="1" selected="0">
            <x v="1"/>
          </reference>
        </references>
      </pivotArea>
    </format>
    <format dxfId="13">
      <pivotArea dataOnly="0" labelOnly="1" outline="0" fieldPosition="0">
        <references count="1">
          <reference field="4294967294" count="1">
            <x v="1"/>
          </reference>
        </references>
      </pivotArea>
    </format>
  </formats>
  <pivotTableStyleInfo name="ProjectStyle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55E57D4E-CFB4-4BCC-8134-7F10EB728E97}" sourceName="Company Name">
  <pivotTables>
    <pivotTable tabId="7" name="PTArticle"/>
    <pivotTable tabId="7" name="PTReject"/>
  </pivotTables>
  <data>
    <tabular pivotCacheId="80579615">
      <items count="45">
        <i x="0" s="1"/>
        <i x="1" s="1"/>
        <i x="27" nd="1"/>
        <i x="44" nd="1"/>
        <i x="18" nd="1"/>
        <i x="3" nd="1"/>
        <i x="12" nd="1"/>
        <i x="35" nd="1"/>
        <i x="30" nd="1"/>
        <i x="20" nd="1"/>
        <i x="36" nd="1"/>
        <i x="22" nd="1"/>
        <i x="16" nd="1"/>
        <i x="28" nd="1"/>
        <i x="7" nd="1"/>
        <i x="13" nd="1"/>
        <i x="39" nd="1"/>
        <i x="8" nd="1"/>
        <i x="31" nd="1"/>
        <i x="26" nd="1"/>
        <i x="29" nd="1"/>
        <i x="19" nd="1"/>
        <i x="17" nd="1"/>
        <i x="4" nd="1"/>
        <i x="32" nd="1"/>
        <i x="15" nd="1"/>
        <i x="2" nd="1"/>
        <i x="24" nd="1"/>
        <i x="11" nd="1"/>
        <i x="5" nd="1"/>
        <i x="6" nd="1"/>
        <i x="41" nd="1"/>
        <i x="43" nd="1"/>
        <i x="37" nd="1"/>
        <i x="38" nd="1"/>
        <i x="10" nd="1"/>
        <i x="34" nd="1"/>
        <i x="40" nd="1"/>
        <i x="33" nd="1"/>
        <i x="42" nd="1"/>
        <i x="14" nd="1"/>
        <i x="25" nd="1"/>
        <i x="9" nd="1"/>
        <i x="21" nd="1"/>
        <i x="2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687D30D1-2ADA-4DFC-A2C9-61476E28940E}" cache="Slicer_Company_Name" caption="Company Name" columnCount="2" showCaption="0" style="ProjectSlicer"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21F95F2-BB2C-47EB-9E5C-60E50931CF6F}" name="TableTemp" displayName="TableTemp" ref="A1:M78" totalsRowShown="0" headerRowDxfId="23">
  <autoFilter ref="A1:M78" xr:uid="{221F95F2-BB2C-47EB-9E5C-60E50931CF6F}"/>
  <tableColumns count="13">
    <tableColumn id="1" xr3:uid="{44F386D8-4D78-4C09-B627-F2D6E522A859}" name="Company ID"/>
    <tableColumn id="2" xr3:uid="{63A6A0E2-D45D-4D20-B9ED-92D5CFFA545C}" name="Sales Document"/>
    <tableColumn id="3" xr3:uid="{0F8AF7DF-373C-458B-AB13-3895BCD9FAF9}" name="Document Date" dataDxfId="0"/>
    <tableColumn id="4" xr3:uid="{FBA7C9A7-B136-4F28-82E2-1AEEDA61FEF9}" name="Customer code"/>
    <tableColumn id="5" xr3:uid="{F7E0EE1B-F873-443D-93C3-6C25BDCC5352}" name="Article code"/>
    <tableColumn id="6" xr3:uid="{F377FFEC-8A01-4E74-8C90-D34DEF1E6CBC}" name="Reject"/>
    <tableColumn id="7" xr3:uid="{07C56BEB-AD33-4C67-84D1-4D384E2A808A}" name="Quantity"/>
    <tableColumn id="8" xr3:uid="{7E4423B6-D873-491D-9480-D964AB4C6578}" name="Sales Local Currency"/>
    <tableColumn id="9" xr3:uid="{51A374CF-A074-4661-92CB-F860FEE627A3}" name="Company Name" dataDxfId="10">
      <calculatedColumnFormula>VLOOKUP(TableTemp[[#This Row],[Company ID]],MCompany[],2,FALSE)</calculatedColumnFormula>
    </tableColumn>
    <tableColumn id="10" xr3:uid="{EC7F504A-3192-4CE6-B05B-B58A7CC5BD7B}" name="Customer Name" dataDxfId="9">
      <calculatedColumnFormula>VLOOKUP(TableTemp[[#This Row],[Customer code]],MCustomer[],2,FALSE)</calculatedColumnFormula>
    </tableColumn>
    <tableColumn id="11" xr3:uid="{3030FAB9-7AB4-44FE-AF91-C19F08B94E0E}" name="Article Description" dataDxfId="22">
      <calculatedColumnFormula>VLOOKUP(TableTemp[[#This Row],[Article code]],MArticle[],2,FALSE)</calculatedColumnFormula>
    </tableColumn>
    <tableColumn id="12" xr3:uid="{B2969CE3-B19B-4468-B0BF-7E86945F5669}" name="Currency" dataDxfId="21">
      <calculatedColumnFormula>VLOOKUP(TableTemp[[#This Row],[Company ID]],MCompany[],3,FALSE)</calculatedColumnFormula>
    </tableColumn>
    <tableColumn id="13" xr3:uid="{84D83BD3-4057-4DCF-81F2-40AFF6342CD4}" name="Sales US Dollar" dataDxfId="20">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6EDB7D7-EB48-4454-8755-D1B3CB73C037}" name="NewDataTable" displayName="NewDataTable" ref="A1:H141" totalsRowShown="0" headerRowDxfId="1">
  <autoFilter ref="A1:H141" xr:uid="{A6EDB7D7-EB48-4454-8755-D1B3CB73C037}"/>
  <tableColumns count="8">
    <tableColumn id="1" xr3:uid="{40168D76-0448-4196-A4CD-F2796BD10647}" name="CompanyID"/>
    <tableColumn id="2" xr3:uid="{F8AE7F77-3C99-48E1-83D7-85AF3116D385}" name="Sales Document" dataDxfId="8"/>
    <tableColumn id="3" xr3:uid="{2C7AA632-9685-457F-8E12-13CE5120B192}" name="Document Date" dataDxfId="7"/>
    <tableColumn id="5" xr3:uid="{E7E16817-7963-4BA6-B770-451151BEDDFD}" name="Customer code" dataDxfId="6"/>
    <tableColumn id="6" xr3:uid="{AB4CEE27-DB38-4045-9D1F-E69E7F4E24C6}" name="Article code" dataDxfId="5"/>
    <tableColumn id="7" xr3:uid="{C0C75FB6-58C2-44C2-9556-02B66A01AC08}" name="Reject" dataDxfId="4"/>
    <tableColumn id="8" xr3:uid="{D95E9992-ADD6-4B6C-9FC2-82EE14A1F009}" name="Quantity" dataDxfId="3"/>
    <tableColumn id="9" xr3:uid="{3A438184-00C0-4DE3-AF54-D8A4C057D35F}" name="Sales Value" dataDxfId="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Company" displayName="MCompany" ref="B8:E12" tableBorderDxfId="19">
  <autoFilter ref="B8:E12" xr:uid="{00000000-0009-0000-0100-000002000000}">
    <filterColumn colId="0" hiddenButton="1"/>
    <filterColumn colId="1" hiddenButton="1"/>
    <filterColumn colId="2" hiddenButton="1"/>
    <filterColumn colId="3" hiddenButton="1"/>
  </autoFilter>
  <tableColumns count="4">
    <tableColumn id="1" xr3:uid="{00000000-0010-0000-0000-000001000000}" name="Company code" totalsRowLabel="Total"/>
    <tableColumn id="2" xr3:uid="{00000000-0010-0000-0000-000002000000}" name="Company Name"/>
    <tableColumn id="3" xr3:uid="{00000000-0010-0000-0000-000003000000}" name="Currency" totalsRowFunction="count"/>
    <tableColumn id="4" xr3:uid="{00000000-0010-0000-0000-000004000000}" name="Regio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Customer" displayName="MCustomer" ref="B16:C22" totalsRowShown="0">
  <autoFilter ref="B16:C22" xr:uid="{00000000-0009-0000-0100-000003000000}">
    <filterColumn colId="0" hiddenButton="1"/>
    <filterColumn colId="1" hiddenButton="1"/>
  </autoFilter>
  <tableColumns count="2">
    <tableColumn id="1" xr3:uid="{00000000-0010-0000-0100-000001000000}" name="Customer code"/>
    <tableColumn id="2" xr3:uid="{00000000-0010-0000-0100-000002000000}" name="Customer Name"/>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MArticle" displayName="MArticle" ref="B26:C46" totalsRowShown="0">
  <autoFilter ref="B26:C46" xr:uid="{00000000-0009-0000-0100-000004000000}">
    <filterColumn colId="0" hiddenButton="1"/>
    <filterColumn colId="1" hiddenButton="1"/>
  </autoFilter>
  <tableColumns count="2">
    <tableColumn id="1" xr3:uid="{00000000-0010-0000-0200-000001000000}" name="Article code" dataDxfId="18"/>
    <tableColumn id="2" xr3:uid="{00000000-0010-0000-0200-000002000000}" name="Description"/>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Exchange" displayName="MExchange" ref="B52:C64" totalsRowShown="0">
  <autoFilter ref="B52:C64" xr:uid="{00000000-0009-0000-0100-000005000000}">
    <filterColumn colId="0" hiddenButton="1"/>
    <filterColumn colId="1" hiddenButton="1"/>
  </autoFilter>
  <tableColumns count="2">
    <tableColumn id="1" xr3:uid="{00000000-0010-0000-0300-000001000000}" name="Month"/>
    <tableColumn id="2" xr3:uid="{00000000-0010-0000-03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3.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Intro"/>
  <dimension ref="A1:P55"/>
  <sheetViews>
    <sheetView workbookViewId="0">
      <selection activeCell="E22" sqref="E22"/>
    </sheetView>
  </sheetViews>
  <sheetFormatPr defaultColWidth="0" defaultRowHeight="13.2" zeroHeight="1" x14ac:dyDescent="0.25"/>
  <cols>
    <col min="1" max="1" width="1.44140625" style="12" customWidth="1"/>
    <col min="2" max="2" width="3.109375" style="12" customWidth="1"/>
    <col min="3" max="13" width="9.109375" style="12" customWidth="1"/>
    <col min="14" max="14" width="12.5546875" style="12" customWidth="1"/>
    <col min="15" max="15" width="2.21875" style="12" customWidth="1"/>
    <col min="16" max="16" width="2.5546875" style="12" customWidth="1"/>
    <col min="17" max="16384" width="9" hidden="1"/>
  </cols>
  <sheetData>
    <row r="1" spans="1:16" x14ac:dyDescent="0.25">
      <c r="A1" s="7"/>
      <c r="B1" s="7"/>
      <c r="C1" s="7"/>
      <c r="D1" s="7"/>
      <c r="E1" s="7"/>
      <c r="F1" s="7"/>
      <c r="G1" s="7"/>
      <c r="H1" s="7"/>
      <c r="I1" s="7"/>
      <c r="J1" s="7"/>
      <c r="K1" s="7"/>
      <c r="L1" s="7"/>
      <c r="M1" s="7"/>
      <c r="N1" s="7"/>
      <c r="O1" s="7"/>
      <c r="P1" s="7"/>
    </row>
    <row r="2" spans="1:16" x14ac:dyDescent="0.25">
      <c r="A2" s="7"/>
      <c r="B2" s="7"/>
      <c r="C2" s="7"/>
      <c r="D2" s="7"/>
      <c r="E2" s="7"/>
      <c r="F2" s="7"/>
      <c r="G2" s="7"/>
      <c r="H2" s="7"/>
      <c r="I2" s="7"/>
      <c r="J2" s="7"/>
      <c r="K2" s="7"/>
      <c r="L2" s="7"/>
      <c r="M2" s="7"/>
      <c r="N2" s="7"/>
      <c r="O2" s="7"/>
      <c r="P2" s="7"/>
    </row>
    <row r="3" spans="1:16" x14ac:dyDescent="0.25">
      <c r="A3" s="7"/>
      <c r="B3" s="7"/>
      <c r="C3" s="7"/>
      <c r="D3" s="7"/>
      <c r="E3" s="7"/>
      <c r="F3" s="7"/>
      <c r="G3" s="7"/>
      <c r="H3" s="7"/>
      <c r="I3" s="7"/>
      <c r="J3" s="7"/>
      <c r="K3" s="7"/>
      <c r="L3" s="7"/>
      <c r="M3" s="7"/>
      <c r="N3" s="7"/>
      <c r="O3" s="7"/>
      <c r="P3" s="7"/>
    </row>
    <row r="4" spans="1:16" x14ac:dyDescent="0.25">
      <c r="A4" s="7"/>
      <c r="B4" s="8"/>
      <c r="C4" s="8"/>
      <c r="D4" s="8"/>
      <c r="E4" s="8"/>
      <c r="F4" s="8"/>
      <c r="G4" s="8"/>
      <c r="H4" s="8"/>
      <c r="I4" s="8"/>
      <c r="J4" s="8"/>
      <c r="K4" s="8"/>
      <c r="L4" s="8"/>
      <c r="M4" s="8"/>
      <c r="N4" s="8"/>
      <c r="O4" s="7"/>
      <c r="P4" s="7"/>
    </row>
    <row r="5" spans="1:16" ht="17.399999999999999" x14ac:dyDescent="0.3">
      <c r="A5" s="7"/>
      <c r="B5" s="9"/>
      <c r="C5" s="10" t="s">
        <v>71</v>
      </c>
      <c r="D5" s="11"/>
      <c r="E5" s="11"/>
      <c r="F5" s="11"/>
      <c r="G5" s="11"/>
      <c r="H5" s="11"/>
      <c r="I5" s="11"/>
      <c r="J5" s="11"/>
      <c r="K5" s="11"/>
      <c r="L5" s="11"/>
      <c r="M5" s="11"/>
      <c r="N5" s="11"/>
      <c r="O5" s="7"/>
      <c r="P5" s="7"/>
    </row>
    <row r="6" spans="1:16" x14ac:dyDescent="0.25">
      <c r="A6" s="7"/>
      <c r="B6" s="11"/>
      <c r="C6" s="11"/>
      <c r="D6" s="11"/>
      <c r="E6" s="11"/>
      <c r="F6" s="11"/>
      <c r="G6" s="11"/>
      <c r="H6" s="11"/>
      <c r="I6" s="11"/>
      <c r="J6" s="11"/>
      <c r="K6" s="11"/>
      <c r="L6" s="11"/>
      <c r="M6" s="11"/>
      <c r="N6" s="11"/>
      <c r="O6" s="7"/>
      <c r="P6" s="7"/>
    </row>
    <row r="7" spans="1:16" x14ac:dyDescent="0.25">
      <c r="A7" s="7"/>
      <c r="B7" s="11"/>
      <c r="C7" s="15" t="s">
        <v>77</v>
      </c>
      <c r="D7" s="11"/>
      <c r="E7" s="11"/>
      <c r="F7" s="11"/>
      <c r="G7" s="11"/>
      <c r="H7" s="11"/>
      <c r="I7" s="11"/>
      <c r="J7" s="11"/>
      <c r="K7" s="11"/>
      <c r="L7" s="11"/>
      <c r="M7" s="11"/>
      <c r="N7" s="11"/>
      <c r="O7" s="7"/>
      <c r="P7" s="7"/>
    </row>
    <row r="8" spans="1:16" x14ac:dyDescent="0.25">
      <c r="A8" s="7"/>
      <c r="B8" s="11"/>
      <c r="C8" s="15" t="s">
        <v>78</v>
      </c>
      <c r="D8" s="11"/>
      <c r="E8" s="11"/>
      <c r="F8" s="11"/>
      <c r="G8" s="11"/>
      <c r="H8" s="11"/>
      <c r="I8" s="11"/>
      <c r="J8" s="11"/>
      <c r="K8" s="11"/>
      <c r="L8" s="11"/>
      <c r="M8" s="11"/>
      <c r="N8" s="11"/>
      <c r="O8" s="7"/>
      <c r="P8" s="7"/>
    </row>
    <row r="9" spans="1:16" x14ac:dyDescent="0.25">
      <c r="A9" s="7"/>
      <c r="B9" s="11"/>
      <c r="C9" s="15" t="s">
        <v>79</v>
      </c>
      <c r="D9" s="11"/>
      <c r="E9" s="11"/>
      <c r="F9" s="11"/>
      <c r="G9" s="11"/>
      <c r="H9" s="11"/>
      <c r="I9" s="11"/>
      <c r="J9" s="11"/>
      <c r="K9" s="11"/>
      <c r="L9" s="11"/>
      <c r="M9" s="11"/>
      <c r="N9" s="11"/>
      <c r="O9" s="7"/>
      <c r="P9" s="7"/>
    </row>
    <row r="10" spans="1:16" x14ac:dyDescent="0.25">
      <c r="A10" s="7"/>
      <c r="B10" s="11"/>
      <c r="C10" s="15" t="s">
        <v>84</v>
      </c>
      <c r="D10" s="11"/>
      <c r="E10" s="11"/>
      <c r="F10" s="11"/>
      <c r="G10" s="11"/>
      <c r="H10" s="11"/>
      <c r="I10" s="11"/>
      <c r="J10" s="11"/>
      <c r="K10" s="11"/>
      <c r="L10" s="11"/>
      <c r="M10" s="11"/>
      <c r="N10" s="11"/>
      <c r="O10" s="7"/>
      <c r="P10" s="7"/>
    </row>
    <row r="11" spans="1:16" x14ac:dyDescent="0.25">
      <c r="A11" s="7"/>
      <c r="B11" s="11"/>
      <c r="C11" s="18" t="s">
        <v>62</v>
      </c>
      <c r="D11" s="11"/>
      <c r="E11" s="11"/>
      <c r="F11" s="11"/>
      <c r="G11" s="11"/>
      <c r="H11" s="11"/>
      <c r="I11" s="11"/>
      <c r="J11" s="11"/>
      <c r="K11" s="11"/>
      <c r="L11" s="11"/>
      <c r="M11" s="11"/>
      <c r="N11" s="11"/>
      <c r="O11" s="7"/>
      <c r="P11" s="7"/>
    </row>
    <row r="12" spans="1:16" x14ac:dyDescent="0.25">
      <c r="A12" s="7"/>
      <c r="B12" s="11"/>
      <c r="C12" s="18" t="s">
        <v>82</v>
      </c>
      <c r="D12" s="11"/>
      <c r="E12" s="11"/>
      <c r="F12" s="11"/>
      <c r="G12" s="11"/>
      <c r="H12" s="11"/>
      <c r="I12" s="11"/>
      <c r="J12" s="11"/>
      <c r="K12" s="11"/>
      <c r="L12" s="11"/>
      <c r="M12" s="11"/>
      <c r="N12" s="11"/>
      <c r="O12" s="7"/>
      <c r="P12" s="7"/>
    </row>
    <row r="13" spans="1:16" x14ac:dyDescent="0.25">
      <c r="A13" s="7"/>
      <c r="B13" s="11"/>
      <c r="C13" s="15" t="s">
        <v>83</v>
      </c>
      <c r="D13" s="11"/>
      <c r="E13" s="11"/>
      <c r="F13" s="11"/>
      <c r="G13" s="11"/>
      <c r="H13" s="11"/>
      <c r="I13" s="11"/>
      <c r="J13" s="11"/>
      <c r="K13" s="11"/>
      <c r="L13" s="11"/>
      <c r="M13" s="11"/>
      <c r="N13" s="11"/>
      <c r="O13" s="7"/>
      <c r="P13" s="7"/>
    </row>
    <row r="14" spans="1:16" x14ac:dyDescent="0.25">
      <c r="A14" s="7"/>
      <c r="B14" s="11"/>
      <c r="C14" s="11"/>
      <c r="D14" s="11"/>
      <c r="E14" s="11"/>
      <c r="F14" s="11"/>
      <c r="G14" s="11"/>
      <c r="H14" s="11"/>
      <c r="I14" s="11"/>
      <c r="J14" s="11"/>
      <c r="K14" s="11"/>
      <c r="L14" s="11"/>
      <c r="M14" s="11"/>
      <c r="N14" s="11"/>
      <c r="O14" s="7"/>
      <c r="P14" s="7"/>
    </row>
    <row r="15" spans="1:16" ht="17.399999999999999" x14ac:dyDescent="0.3">
      <c r="A15" s="7"/>
      <c r="B15" s="11"/>
      <c r="C15" s="10" t="s">
        <v>57</v>
      </c>
      <c r="D15" s="11"/>
      <c r="E15" s="11"/>
      <c r="F15" s="11"/>
      <c r="G15" s="11"/>
      <c r="H15" s="11"/>
      <c r="I15" s="11"/>
      <c r="J15" s="11"/>
      <c r="K15" s="11"/>
      <c r="L15" s="11"/>
      <c r="M15" s="11"/>
      <c r="N15" s="11"/>
      <c r="O15" s="7"/>
      <c r="P15" s="7"/>
    </row>
    <row r="16" spans="1:16" x14ac:dyDescent="0.25">
      <c r="A16" s="7"/>
      <c r="B16" s="11"/>
      <c r="C16" s="11"/>
      <c r="D16" s="11"/>
      <c r="E16" s="11"/>
      <c r="F16" s="11"/>
      <c r="G16" s="11"/>
      <c r="H16" s="11"/>
      <c r="I16" s="11"/>
      <c r="J16" s="11"/>
      <c r="K16" s="11"/>
      <c r="L16" s="11"/>
      <c r="M16" s="11"/>
      <c r="N16" s="11"/>
      <c r="O16" s="7"/>
      <c r="P16" s="7"/>
    </row>
    <row r="17" spans="1:16" x14ac:dyDescent="0.25">
      <c r="A17" s="7"/>
      <c r="B17" s="11"/>
      <c r="C17" s="11" t="s">
        <v>80</v>
      </c>
      <c r="D17" s="11"/>
      <c r="E17" s="11"/>
      <c r="F17" s="11"/>
      <c r="G17" s="11"/>
      <c r="H17" s="11"/>
      <c r="I17" s="11"/>
      <c r="J17" s="11"/>
      <c r="K17" s="11"/>
      <c r="L17" s="11"/>
      <c r="M17" s="11"/>
      <c r="N17" s="11"/>
      <c r="O17" s="7"/>
      <c r="P17" s="7"/>
    </row>
    <row r="18" spans="1:16" x14ac:dyDescent="0.25">
      <c r="A18" s="7"/>
      <c r="B18" s="13"/>
      <c r="C18" s="11" t="s">
        <v>63</v>
      </c>
      <c r="D18" s="13"/>
      <c r="E18" s="13"/>
      <c r="F18" s="13"/>
      <c r="G18" s="11"/>
      <c r="H18" s="11"/>
      <c r="I18" s="11"/>
      <c r="J18" s="11"/>
      <c r="K18" s="11"/>
      <c r="L18" s="11"/>
      <c r="M18" s="11"/>
      <c r="N18" s="11"/>
      <c r="O18" s="7"/>
      <c r="P18" s="7"/>
    </row>
    <row r="19" spans="1:16" x14ac:dyDescent="0.25">
      <c r="A19" s="7"/>
      <c r="B19" s="8"/>
      <c r="C19" s="11" t="s">
        <v>64</v>
      </c>
      <c r="D19" s="14"/>
      <c r="E19" s="8"/>
      <c r="F19" s="8"/>
      <c r="G19" s="11"/>
      <c r="H19" s="11"/>
      <c r="I19" s="11"/>
      <c r="J19" s="11"/>
      <c r="K19" s="11"/>
      <c r="L19" s="11"/>
      <c r="M19" s="11"/>
      <c r="N19" s="11"/>
      <c r="O19" s="7"/>
      <c r="P19" s="7"/>
    </row>
    <row r="20" spans="1:16" x14ac:dyDescent="0.25">
      <c r="A20" s="7"/>
      <c r="B20" s="11"/>
      <c r="C20" s="11" t="s">
        <v>68</v>
      </c>
      <c r="D20" s="15"/>
      <c r="E20" s="11"/>
      <c r="F20" s="11"/>
      <c r="G20" s="11"/>
      <c r="H20" s="11"/>
      <c r="I20" s="11"/>
      <c r="J20" s="11"/>
      <c r="K20" s="11"/>
      <c r="L20" s="11"/>
      <c r="M20" s="11"/>
      <c r="N20" s="11"/>
      <c r="O20" s="7"/>
      <c r="P20" s="7"/>
    </row>
    <row r="21" spans="1:16" ht="13.8" customHeight="1" x14ac:dyDescent="0.25">
      <c r="A21" s="7"/>
      <c r="B21" s="11"/>
      <c r="C21" s="55" t="s">
        <v>67</v>
      </c>
      <c r="D21" s="55"/>
      <c r="E21" s="55"/>
      <c r="F21" s="55"/>
      <c r="G21" s="55"/>
      <c r="H21" s="55"/>
      <c r="I21" s="55"/>
      <c r="J21" s="55"/>
      <c r="K21" s="55"/>
      <c r="L21" s="55"/>
      <c r="M21" s="55"/>
      <c r="N21" s="55"/>
      <c r="O21" s="7"/>
      <c r="P21" s="7"/>
    </row>
    <row r="22" spans="1:16" x14ac:dyDescent="0.25">
      <c r="A22" s="7"/>
      <c r="B22" s="11"/>
      <c r="C22" s="11" t="s">
        <v>65</v>
      </c>
      <c r="D22" s="11"/>
      <c r="E22" s="11"/>
      <c r="F22" s="11"/>
      <c r="G22" s="11"/>
      <c r="H22" s="11"/>
      <c r="I22" s="11"/>
      <c r="J22" s="11"/>
      <c r="K22" s="11"/>
      <c r="L22" s="11"/>
      <c r="M22" s="11"/>
      <c r="N22" s="11"/>
      <c r="O22" s="7"/>
      <c r="P22" s="7"/>
    </row>
    <row r="23" spans="1:16" x14ac:dyDescent="0.25">
      <c r="A23" s="7"/>
      <c r="B23" s="11"/>
      <c r="C23" s="11" t="s">
        <v>66</v>
      </c>
      <c r="D23" s="11"/>
      <c r="E23" s="11"/>
      <c r="F23" s="11"/>
      <c r="G23" s="11"/>
      <c r="H23" s="11"/>
      <c r="I23" s="11"/>
      <c r="J23" s="11"/>
      <c r="K23" s="11"/>
      <c r="L23" s="11"/>
      <c r="M23" s="11"/>
      <c r="N23" s="11"/>
      <c r="O23" s="7"/>
      <c r="P23" s="7"/>
    </row>
    <row r="24" spans="1:16" x14ac:dyDescent="0.25">
      <c r="A24" s="7"/>
      <c r="B24" s="11"/>
      <c r="C24" s="11" t="s">
        <v>69</v>
      </c>
      <c r="D24" s="15"/>
      <c r="E24" s="11"/>
      <c r="F24" s="11"/>
      <c r="G24" s="11"/>
      <c r="H24" s="11"/>
      <c r="I24" s="11"/>
      <c r="J24" s="11"/>
      <c r="K24" s="11"/>
      <c r="L24" s="11"/>
      <c r="M24" s="11"/>
      <c r="N24" s="11"/>
      <c r="O24" s="7"/>
      <c r="P24" s="7"/>
    </row>
    <row r="25" spans="1:16" x14ac:dyDescent="0.25">
      <c r="A25" s="7"/>
      <c r="B25" s="11"/>
      <c r="C25" s="17" t="s">
        <v>70</v>
      </c>
      <c r="D25" s="15"/>
      <c r="E25" s="11"/>
      <c r="F25" s="11"/>
      <c r="G25" s="11"/>
      <c r="H25" s="11"/>
      <c r="I25" s="11"/>
      <c r="J25" s="11"/>
      <c r="K25" s="11"/>
      <c r="L25" s="11"/>
      <c r="M25" s="11"/>
      <c r="N25" s="11"/>
      <c r="O25" s="7"/>
      <c r="P25" s="7"/>
    </row>
    <row r="26" spans="1:16" x14ac:dyDescent="0.25">
      <c r="A26" s="7"/>
      <c r="B26" s="11"/>
      <c r="C26" s="11"/>
      <c r="D26" s="11"/>
      <c r="E26" s="11"/>
      <c r="F26" s="11"/>
      <c r="G26" s="11"/>
      <c r="H26" s="11"/>
      <c r="I26" s="11"/>
      <c r="J26" s="11"/>
      <c r="K26" s="11"/>
      <c r="L26" s="11"/>
      <c r="M26" s="11"/>
      <c r="N26" s="11"/>
      <c r="O26" s="7"/>
      <c r="P26" s="7"/>
    </row>
    <row r="27" spans="1:16" x14ac:dyDescent="0.25">
      <c r="A27" s="7"/>
      <c r="B27" s="11"/>
      <c r="C27" s="11"/>
      <c r="D27" s="11"/>
      <c r="E27" s="11"/>
      <c r="F27" s="11"/>
      <c r="G27" s="11"/>
      <c r="H27" s="11"/>
      <c r="I27" s="11"/>
      <c r="J27" s="11"/>
      <c r="K27" s="11"/>
      <c r="L27" s="11"/>
      <c r="M27" s="11"/>
      <c r="N27" s="11"/>
      <c r="O27" s="7"/>
      <c r="P27" s="7"/>
    </row>
    <row r="28" spans="1:16" ht="17.399999999999999" x14ac:dyDescent="0.3">
      <c r="A28" s="7"/>
      <c r="B28" s="11"/>
      <c r="C28" s="10" t="s">
        <v>56</v>
      </c>
      <c r="D28" s="11"/>
      <c r="E28" s="11"/>
      <c r="F28" s="11"/>
      <c r="G28" s="11"/>
      <c r="H28" s="11"/>
      <c r="I28" s="11"/>
      <c r="J28" s="11"/>
      <c r="K28" s="11"/>
      <c r="L28" s="11"/>
      <c r="M28" s="11"/>
      <c r="N28" s="11"/>
      <c r="O28" s="7"/>
      <c r="P28" s="7"/>
    </row>
    <row r="29" spans="1:16" x14ac:dyDescent="0.25">
      <c r="A29" s="7"/>
      <c r="B29" s="11"/>
      <c r="C29" s="11"/>
      <c r="D29" s="11"/>
      <c r="E29" s="11"/>
      <c r="F29" s="11"/>
      <c r="G29" s="11"/>
      <c r="H29" s="11"/>
      <c r="I29" s="11"/>
      <c r="J29" s="11"/>
      <c r="K29" s="11"/>
      <c r="L29" s="11"/>
      <c r="M29" s="11"/>
      <c r="N29" s="11"/>
      <c r="O29" s="7"/>
      <c r="P29" s="7"/>
    </row>
    <row r="30" spans="1:16" x14ac:dyDescent="0.25">
      <c r="A30" s="7"/>
      <c r="B30" s="11"/>
      <c r="C30" s="11" t="s">
        <v>72</v>
      </c>
      <c r="D30" s="11"/>
      <c r="E30" s="11"/>
      <c r="F30" s="11"/>
      <c r="G30" s="11"/>
      <c r="H30" s="11"/>
      <c r="I30" s="11"/>
      <c r="J30" s="11"/>
      <c r="K30" s="11"/>
      <c r="L30" s="11"/>
      <c r="M30" s="11"/>
      <c r="N30" s="11"/>
      <c r="O30" s="7"/>
      <c r="P30" s="7"/>
    </row>
    <row r="31" spans="1:16" x14ac:dyDescent="0.25">
      <c r="A31" s="7"/>
      <c r="B31" s="11"/>
      <c r="C31" s="11" t="s">
        <v>86</v>
      </c>
      <c r="D31" s="11"/>
      <c r="E31" s="11"/>
      <c r="F31" s="11"/>
      <c r="G31" s="11"/>
      <c r="H31" s="11"/>
      <c r="I31" s="11"/>
      <c r="J31" s="11"/>
      <c r="K31" s="11"/>
      <c r="L31" s="11"/>
      <c r="M31" s="11"/>
      <c r="N31" s="11"/>
      <c r="O31" s="7"/>
      <c r="P31" s="7"/>
    </row>
    <row r="32" spans="1:16" x14ac:dyDescent="0.25">
      <c r="A32" s="7"/>
      <c r="B32" s="11"/>
      <c r="C32" s="12" t="s">
        <v>87</v>
      </c>
      <c r="D32" s="11"/>
      <c r="E32" s="11"/>
      <c r="F32" s="11"/>
      <c r="G32" s="11"/>
      <c r="H32" s="11"/>
      <c r="I32" s="11"/>
      <c r="J32" s="11"/>
      <c r="K32" s="11"/>
      <c r="L32" s="11"/>
      <c r="M32" s="11"/>
      <c r="N32" s="11"/>
      <c r="O32" s="7"/>
      <c r="P32" s="7"/>
    </row>
    <row r="33" spans="1:16" x14ac:dyDescent="0.25">
      <c r="A33" s="7"/>
      <c r="B33" s="11"/>
      <c r="C33" s="11" t="s">
        <v>74</v>
      </c>
      <c r="D33" s="11"/>
      <c r="E33" s="11"/>
      <c r="F33" s="11"/>
      <c r="G33" s="11"/>
      <c r="H33" s="11"/>
      <c r="I33" s="11"/>
      <c r="J33" s="11"/>
      <c r="K33" s="11"/>
      <c r="L33" s="11"/>
      <c r="M33" s="11"/>
      <c r="N33" s="11"/>
      <c r="O33" s="7"/>
      <c r="P33" s="7"/>
    </row>
    <row r="34" spans="1:16" x14ac:dyDescent="0.25">
      <c r="A34" s="7"/>
      <c r="B34" s="11"/>
      <c r="D34" s="11"/>
      <c r="E34" s="11"/>
      <c r="F34" s="11"/>
      <c r="G34" s="11"/>
      <c r="H34" s="11"/>
      <c r="I34" s="11"/>
      <c r="J34" s="11"/>
      <c r="K34" s="11"/>
      <c r="L34" s="11"/>
      <c r="M34" s="11"/>
      <c r="N34" s="11"/>
      <c r="O34" s="7"/>
      <c r="P34" s="7"/>
    </row>
    <row r="35" spans="1:16" x14ac:dyDescent="0.25">
      <c r="A35" s="7"/>
      <c r="B35" s="11"/>
      <c r="C35" s="13"/>
      <c r="D35" s="11"/>
      <c r="E35" s="11"/>
      <c r="F35" s="11"/>
      <c r="G35" s="11"/>
      <c r="H35" s="11"/>
      <c r="I35" s="11"/>
      <c r="J35" s="11"/>
      <c r="K35" s="11"/>
      <c r="L35" s="11"/>
      <c r="M35" s="11"/>
      <c r="N35" s="11"/>
      <c r="O35" s="7"/>
      <c r="P35" s="7"/>
    </row>
    <row r="36" spans="1:16" x14ac:dyDescent="0.25">
      <c r="A36" s="7"/>
      <c r="B36" s="11"/>
      <c r="C36" s="19" t="s">
        <v>73</v>
      </c>
      <c r="D36" s="15"/>
      <c r="E36" s="11"/>
      <c r="F36" s="11"/>
      <c r="G36" s="11"/>
      <c r="H36" s="11"/>
      <c r="I36" s="11"/>
      <c r="J36" s="11"/>
      <c r="K36" s="11"/>
      <c r="L36" s="11"/>
      <c r="M36" s="11"/>
      <c r="N36" s="11"/>
      <c r="O36" s="7"/>
      <c r="P36" s="7"/>
    </row>
    <row r="37" spans="1:16" x14ac:dyDescent="0.25">
      <c r="A37" s="7"/>
      <c r="B37" s="11"/>
      <c r="C37" s="11"/>
      <c r="D37" s="15"/>
      <c r="E37" s="11"/>
      <c r="F37" s="11"/>
      <c r="G37" s="11"/>
      <c r="H37" s="11"/>
      <c r="I37" s="11"/>
      <c r="J37" s="11"/>
      <c r="K37" s="11"/>
      <c r="L37" s="11"/>
      <c r="M37" s="11"/>
      <c r="N37" s="11"/>
      <c r="O37" s="7"/>
      <c r="P37" s="7"/>
    </row>
    <row r="38" spans="1:16" ht="13.8" x14ac:dyDescent="0.25">
      <c r="A38" s="7"/>
      <c r="B38" s="11"/>
      <c r="C38" s="21" t="s">
        <v>85</v>
      </c>
      <c r="D38" s="11"/>
      <c r="E38" s="11"/>
      <c r="F38" s="11"/>
      <c r="G38" s="11"/>
      <c r="H38" s="11"/>
      <c r="I38" s="11"/>
      <c r="J38" s="11"/>
      <c r="K38" s="11"/>
      <c r="L38" s="11"/>
      <c r="M38" s="11"/>
      <c r="N38" s="11"/>
      <c r="O38" s="7"/>
      <c r="P38" s="7"/>
    </row>
    <row r="39" spans="1:16" ht="13.8" x14ac:dyDescent="0.25">
      <c r="A39" s="7"/>
      <c r="B39" s="11"/>
      <c r="C39" s="20" t="s">
        <v>76</v>
      </c>
      <c r="D39" s="11"/>
      <c r="E39" s="11"/>
      <c r="F39" s="11"/>
      <c r="G39" s="11"/>
      <c r="H39" s="11"/>
      <c r="I39" s="11"/>
      <c r="J39" s="11"/>
      <c r="K39" s="11"/>
      <c r="L39" s="11"/>
      <c r="M39" s="11"/>
      <c r="N39" s="11"/>
      <c r="O39" s="7"/>
      <c r="P39" s="7"/>
    </row>
    <row r="40" spans="1:16" ht="13.8" x14ac:dyDescent="0.25">
      <c r="A40" s="7"/>
      <c r="B40" s="11"/>
      <c r="C40" s="20" t="s">
        <v>75</v>
      </c>
      <c r="D40" s="11"/>
      <c r="E40" s="11"/>
      <c r="F40" s="11"/>
      <c r="G40" s="11"/>
      <c r="H40" s="11"/>
      <c r="I40" s="11"/>
      <c r="J40" s="11"/>
      <c r="K40" s="11"/>
      <c r="L40" s="11"/>
      <c r="M40" s="11"/>
      <c r="N40" s="11"/>
      <c r="O40" s="7"/>
      <c r="P40" s="7"/>
    </row>
    <row r="41" spans="1:16" x14ac:dyDescent="0.25">
      <c r="A41" s="7"/>
      <c r="B41" s="11"/>
      <c r="C41" s="11"/>
      <c r="D41" s="15"/>
      <c r="E41" s="11"/>
      <c r="F41" s="11"/>
      <c r="G41" s="11"/>
      <c r="H41" s="11"/>
      <c r="I41" s="11"/>
      <c r="J41" s="11"/>
      <c r="K41" s="11"/>
      <c r="L41" s="11"/>
      <c r="M41" s="11"/>
      <c r="N41" s="11"/>
      <c r="O41" s="7"/>
      <c r="P41" s="7"/>
    </row>
    <row r="42" spans="1:16" x14ac:dyDescent="0.25">
      <c r="A42" s="7"/>
      <c r="B42" s="11"/>
      <c r="C42" s="11"/>
      <c r="D42" s="11"/>
      <c r="E42" s="11"/>
      <c r="F42" s="11"/>
      <c r="G42" s="11"/>
      <c r="H42" s="11"/>
      <c r="I42" s="11"/>
      <c r="J42" s="11"/>
      <c r="K42" s="11"/>
      <c r="L42" s="11"/>
      <c r="M42" s="11"/>
      <c r="N42" s="11"/>
      <c r="O42" s="7"/>
      <c r="P42" s="7"/>
    </row>
    <row r="43" spans="1:16" x14ac:dyDescent="0.25">
      <c r="A43" s="7"/>
      <c r="B43" s="11"/>
      <c r="C43" s="11"/>
      <c r="D43" s="11"/>
      <c r="E43" s="11"/>
      <c r="F43" s="11"/>
      <c r="G43" s="11"/>
      <c r="H43" s="11"/>
      <c r="I43" s="11"/>
      <c r="J43" s="11"/>
      <c r="K43" s="11"/>
      <c r="L43" s="11"/>
      <c r="M43" s="11"/>
      <c r="N43" s="11"/>
      <c r="O43" s="7"/>
      <c r="P43" s="7"/>
    </row>
    <row r="44" spans="1:16" ht="17.399999999999999" x14ac:dyDescent="0.3">
      <c r="A44" s="7"/>
      <c r="B44" s="11"/>
      <c r="C44" s="10"/>
      <c r="D44" s="11"/>
      <c r="E44" s="11"/>
      <c r="F44" s="11"/>
      <c r="G44" s="11"/>
      <c r="H44" s="11"/>
      <c r="I44" s="11"/>
      <c r="J44" s="11"/>
      <c r="K44" s="11"/>
      <c r="L44" s="11"/>
      <c r="M44" s="11"/>
      <c r="N44" s="11"/>
      <c r="O44" s="7"/>
      <c r="P44" s="7"/>
    </row>
    <row r="45" spans="1:16" x14ac:dyDescent="0.25">
      <c r="A45" s="7"/>
      <c r="B45" s="11"/>
      <c r="C45" s="11"/>
      <c r="D45" s="11"/>
      <c r="E45" s="11"/>
      <c r="F45" s="11"/>
      <c r="G45" s="11"/>
      <c r="H45" s="11"/>
      <c r="I45" s="11"/>
      <c r="J45" s="11"/>
      <c r="K45" s="11"/>
      <c r="L45" s="11"/>
      <c r="M45" s="11"/>
      <c r="N45" s="11"/>
      <c r="O45" s="7"/>
      <c r="P45" s="7"/>
    </row>
    <row r="46" spans="1:16" x14ac:dyDescent="0.25">
      <c r="A46" s="7"/>
      <c r="B46" s="11"/>
      <c r="C46" s="11"/>
      <c r="D46" s="11"/>
      <c r="E46" s="11"/>
      <c r="F46" s="11"/>
      <c r="G46" s="11"/>
      <c r="H46" s="11"/>
      <c r="I46" s="11"/>
      <c r="J46" s="11"/>
      <c r="K46" s="11"/>
      <c r="L46" s="11"/>
      <c r="M46" s="11"/>
      <c r="N46" s="11"/>
      <c r="O46" s="7"/>
      <c r="P46" s="7"/>
    </row>
    <row r="47" spans="1:16" x14ac:dyDescent="0.25">
      <c r="A47" s="7"/>
      <c r="B47" s="11"/>
      <c r="C47" s="11"/>
      <c r="D47" s="11"/>
      <c r="E47" s="11"/>
      <c r="F47" s="11"/>
      <c r="G47" s="11"/>
      <c r="H47" s="11"/>
      <c r="I47" s="11"/>
      <c r="J47" s="11"/>
      <c r="K47" s="11"/>
      <c r="L47" s="11"/>
      <c r="M47" s="11"/>
      <c r="N47" s="11"/>
      <c r="O47" s="7"/>
      <c r="P47" s="7"/>
    </row>
    <row r="48" spans="1:16" x14ac:dyDescent="0.25">
      <c r="A48" s="7"/>
      <c r="B48" s="11"/>
      <c r="C48" s="11"/>
      <c r="D48" s="15"/>
      <c r="E48" s="11"/>
      <c r="F48" s="11"/>
      <c r="G48" s="11"/>
      <c r="H48" s="11"/>
      <c r="I48" s="11"/>
      <c r="J48" s="11"/>
      <c r="K48" s="11"/>
      <c r="L48" s="11"/>
      <c r="M48" s="11"/>
      <c r="N48" s="11"/>
      <c r="O48" s="7"/>
      <c r="P48" s="7"/>
    </row>
    <row r="49" spans="1:16" x14ac:dyDescent="0.25">
      <c r="A49" s="7"/>
      <c r="B49" s="11"/>
      <c r="C49" s="11"/>
      <c r="D49" s="11"/>
      <c r="E49" s="11"/>
      <c r="F49" s="11"/>
      <c r="G49" s="11"/>
      <c r="H49" s="11"/>
      <c r="I49" s="11"/>
      <c r="J49" s="11"/>
      <c r="K49" s="11"/>
      <c r="L49" s="11"/>
      <c r="M49" s="11"/>
      <c r="N49" s="11"/>
      <c r="O49" s="7"/>
      <c r="P49" s="7"/>
    </row>
    <row r="50" spans="1:16" ht="17.399999999999999" x14ac:dyDescent="0.3">
      <c r="A50" s="7"/>
      <c r="B50" s="11"/>
      <c r="C50" s="10"/>
      <c r="D50" s="11"/>
      <c r="E50" s="11"/>
      <c r="F50" s="11"/>
      <c r="G50" s="11"/>
      <c r="H50" s="11"/>
      <c r="I50" s="11"/>
      <c r="J50" s="11"/>
      <c r="K50" s="11"/>
      <c r="L50" s="11"/>
      <c r="M50" s="11"/>
      <c r="N50" s="11"/>
      <c r="O50" s="7"/>
      <c r="P50" s="7"/>
    </row>
    <row r="51" spans="1:16" x14ac:dyDescent="0.25">
      <c r="A51" s="7"/>
      <c r="B51" s="11"/>
      <c r="C51" s="11"/>
      <c r="D51" s="11"/>
      <c r="E51" s="11"/>
      <c r="F51" s="11"/>
      <c r="G51" s="11"/>
      <c r="H51" s="11"/>
      <c r="I51" s="11"/>
      <c r="J51" s="11"/>
      <c r="K51" s="11"/>
      <c r="L51" s="11"/>
      <c r="M51" s="11"/>
      <c r="N51" s="11"/>
      <c r="O51" s="7"/>
      <c r="P51" s="7"/>
    </row>
    <row r="52" spans="1:16" x14ac:dyDescent="0.25">
      <c r="A52" s="7"/>
      <c r="B52" s="11"/>
      <c r="C52" s="11"/>
      <c r="D52" s="11"/>
      <c r="E52" s="11"/>
      <c r="F52" s="11"/>
      <c r="G52" s="11"/>
      <c r="H52" s="11"/>
      <c r="I52" s="11"/>
      <c r="J52" s="11"/>
      <c r="K52" s="11"/>
      <c r="L52" s="11"/>
      <c r="M52" s="11"/>
      <c r="N52" s="11"/>
      <c r="O52" s="7"/>
      <c r="P52" s="7"/>
    </row>
    <row r="53" spans="1:16" x14ac:dyDescent="0.25">
      <c r="A53" s="7"/>
      <c r="B53" s="16"/>
      <c r="C53" s="16"/>
      <c r="D53" s="16"/>
      <c r="E53" s="16"/>
      <c r="F53" s="16"/>
      <c r="G53" s="16"/>
      <c r="H53" s="16"/>
      <c r="I53" s="16"/>
      <c r="J53" s="16"/>
      <c r="K53" s="16"/>
      <c r="L53" s="16"/>
      <c r="M53" s="16"/>
      <c r="N53" s="16"/>
      <c r="O53" s="7"/>
      <c r="P53" s="7"/>
    </row>
    <row r="54" spans="1:16" x14ac:dyDescent="0.25">
      <c r="A54" s="7"/>
      <c r="B54" s="7"/>
      <c r="C54" s="7"/>
      <c r="D54" s="7"/>
      <c r="E54" s="7"/>
      <c r="F54" s="7"/>
      <c r="G54" s="7"/>
      <c r="H54" s="7"/>
      <c r="I54" s="7"/>
      <c r="J54" s="7"/>
      <c r="K54" s="7"/>
      <c r="L54" s="7"/>
      <c r="M54" s="7"/>
      <c r="N54" s="7"/>
      <c r="O54" s="7"/>
      <c r="P54" s="7"/>
    </row>
    <row r="55" spans="1:16" x14ac:dyDescent="0.25">
      <c r="A55" s="7"/>
      <c r="B55" s="7"/>
      <c r="C55" s="7"/>
      <c r="D55" s="7"/>
      <c r="E55" s="7"/>
      <c r="F55" s="7"/>
      <c r="G55" s="7"/>
      <c r="H55" s="7"/>
      <c r="I55" s="7"/>
      <c r="J55" s="7"/>
      <c r="K55" s="7"/>
      <c r="L55" s="7"/>
      <c r="M55" s="7"/>
      <c r="N55" s="7"/>
      <c r="O55" s="7"/>
      <c r="P55" s="7"/>
    </row>
  </sheetData>
  <mergeCells count="1">
    <mergeCell ref="C21:N2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2" tint="-0.499984740745262"/>
  </sheetPr>
  <dimension ref="A1:W112"/>
  <sheetViews>
    <sheetView showGridLines="0" tabSelected="1" zoomScale="110" zoomScaleNormal="110" workbookViewId="0">
      <selection activeCell="J2" sqref="J2"/>
    </sheetView>
  </sheetViews>
  <sheetFormatPr defaultColWidth="0" defaultRowHeight="13.2" zeroHeight="1" x14ac:dyDescent="0.25"/>
  <cols>
    <col min="1" max="1" width="4" customWidth="1"/>
    <col min="2" max="2" width="19.88671875" customWidth="1"/>
    <col min="3" max="3" width="9.109375" customWidth="1"/>
    <col min="4" max="4" width="5.88671875" customWidth="1"/>
    <col min="5" max="5" width="9.109375" customWidth="1"/>
    <col min="6" max="6" width="12.88671875" customWidth="1"/>
    <col min="7" max="7" width="4.5546875" customWidth="1"/>
    <col min="8" max="17" width="9.109375" customWidth="1"/>
    <col min="18" max="18" width="9.109375" hidden="1" customWidth="1"/>
    <col min="19" max="23" width="0" hidden="1" customWidth="1"/>
    <col min="24" max="16384" width="9.109375" hidden="1"/>
  </cols>
  <sheetData>
    <row r="1" spans="2:2" ht="28.95" customHeight="1" x14ac:dyDescent="0.25"/>
    <row r="2" spans="2:2" ht="28.95" customHeight="1" x14ac:dyDescent="0.25"/>
    <row r="3" spans="2:2" ht="12" customHeight="1" x14ac:dyDescent="0.25"/>
    <row r="4" spans="2:2" ht="12" customHeight="1" x14ac:dyDescent="0.25">
      <c r="B4" s="36" t="s">
        <v>119</v>
      </c>
    </row>
    <row r="5" spans="2:2" ht="12" customHeight="1" x14ac:dyDescent="0.25"/>
    <row r="6" spans="2:2" ht="12" customHeight="1" x14ac:dyDescent="0.25"/>
    <row r="7" spans="2:2" ht="12" customHeight="1" x14ac:dyDescent="0.25"/>
    <row r="8" spans="2:2" ht="12" customHeight="1" x14ac:dyDescent="0.25"/>
    <row r="9" spans="2:2" ht="12" customHeight="1" x14ac:dyDescent="0.25"/>
    <row r="10" spans="2:2" ht="12" customHeight="1" x14ac:dyDescent="0.25"/>
    <row r="11" spans="2:2" ht="11.7" customHeight="1" x14ac:dyDescent="0.25"/>
    <row r="12" spans="2:2" ht="12" customHeight="1" x14ac:dyDescent="0.25"/>
    <row r="13" spans="2:2" ht="27.6" customHeight="1" x14ac:dyDescent="0.25"/>
    <row r="14" spans="2:2" ht="13.8" x14ac:dyDescent="0.25">
      <c r="B14" s="36" t="s">
        <v>114</v>
      </c>
    </row>
    <row r="15" spans="2:2" ht="13.8" x14ac:dyDescent="0.25">
      <c r="B15" s="36"/>
    </row>
    <row r="16" spans="2:2" ht="13.8" x14ac:dyDescent="0.25">
      <c r="B16" s="36"/>
    </row>
    <row r="17" spans="2:2" ht="13.8" x14ac:dyDescent="0.25">
      <c r="B17" s="36"/>
    </row>
    <row r="18" spans="2:2" ht="13.8" x14ac:dyDescent="0.25">
      <c r="B18" s="36"/>
    </row>
    <row r="19" spans="2:2" ht="13.8" x14ac:dyDescent="0.25">
      <c r="B19" s="36"/>
    </row>
    <row r="20" spans="2:2" ht="13.8" x14ac:dyDescent="0.25">
      <c r="B20" s="36"/>
    </row>
    <row r="21" spans="2:2" ht="13.8" x14ac:dyDescent="0.25">
      <c r="B21" s="36"/>
    </row>
    <row r="22" spans="2:2" ht="13.8" x14ac:dyDescent="0.25">
      <c r="B22" s="36"/>
    </row>
    <row r="23" spans="2:2" ht="13.8" x14ac:dyDescent="0.25">
      <c r="B23" s="36"/>
    </row>
    <row r="24" spans="2:2" ht="13.8" x14ac:dyDescent="0.25">
      <c r="B24" s="36"/>
    </row>
    <row r="25" spans="2:2" x14ac:dyDescent="0.25"/>
    <row r="26" spans="2:2" ht="13.8" x14ac:dyDescent="0.25">
      <c r="B26" s="36" t="s">
        <v>115</v>
      </c>
    </row>
    <row r="27" spans="2:2" x14ac:dyDescent="0.25"/>
    <row r="28" spans="2:2" x14ac:dyDescent="0.25">
      <c r="B28" s="35" t="s">
        <v>90</v>
      </c>
    </row>
    <row r="29" spans="2:2" x14ac:dyDescent="0.25"/>
    <row r="30" spans="2:2" x14ac:dyDescent="0.25"/>
    <row r="31" spans="2:2" x14ac:dyDescent="0.25"/>
    <row r="32" spans="2:2" x14ac:dyDescent="0.25"/>
    <row r="33" spans="2:2" x14ac:dyDescent="0.25"/>
    <row r="34" spans="2:2" x14ac:dyDescent="0.25"/>
    <row r="35" spans="2:2" x14ac:dyDescent="0.25"/>
    <row r="36" spans="2:2" x14ac:dyDescent="0.25"/>
    <row r="37" spans="2:2" x14ac:dyDescent="0.25"/>
    <row r="38" spans="2:2" x14ac:dyDescent="0.25"/>
    <row r="39" spans="2:2" x14ac:dyDescent="0.25"/>
    <row r="40" spans="2:2" x14ac:dyDescent="0.25"/>
    <row r="41" spans="2:2" x14ac:dyDescent="0.25"/>
    <row r="42" spans="2:2" ht="13.8" x14ac:dyDescent="0.25">
      <c r="B42" s="36" t="s">
        <v>116</v>
      </c>
    </row>
    <row r="43" spans="2:2" ht="13.8" x14ac:dyDescent="0.25">
      <c r="B43" s="36"/>
    </row>
    <row r="44" spans="2:2" ht="13.8" x14ac:dyDescent="0.25">
      <c r="B44" s="36"/>
    </row>
    <row r="45" spans="2:2" ht="13.8" x14ac:dyDescent="0.25">
      <c r="B45" s="36"/>
    </row>
    <row r="46" spans="2:2" ht="13.8" x14ac:dyDescent="0.25">
      <c r="B46" s="36"/>
    </row>
    <row r="47" spans="2:2" ht="13.8" x14ac:dyDescent="0.25">
      <c r="B47" s="36"/>
    </row>
    <row r="48" spans="2:2" ht="13.8" x14ac:dyDescent="0.25">
      <c r="B48" s="36"/>
    </row>
    <row r="49" spans="2:2" ht="13.8" x14ac:dyDescent="0.25">
      <c r="B49" s="36"/>
    </row>
    <row r="50" spans="2:2" ht="13.8" x14ac:dyDescent="0.25">
      <c r="B50" s="36"/>
    </row>
    <row r="51" spans="2:2" ht="13.8" x14ac:dyDescent="0.25">
      <c r="B51" s="36"/>
    </row>
    <row r="52" spans="2:2" x14ac:dyDescent="0.25"/>
    <row r="53" spans="2:2" x14ac:dyDescent="0.25"/>
    <row r="54" spans="2:2" x14ac:dyDescent="0.25"/>
    <row r="55" spans="2:2" x14ac:dyDescent="0.25"/>
    <row r="56" spans="2:2" x14ac:dyDescent="0.25"/>
    <row r="57" spans="2:2" x14ac:dyDescent="0.25"/>
    <row r="58" spans="2:2" ht="13.8" x14ac:dyDescent="0.25">
      <c r="B58" s="36" t="s">
        <v>117</v>
      </c>
    </row>
    <row r="59" spans="2:2" x14ac:dyDescent="0.25">
      <c r="B59" t="s">
        <v>113</v>
      </c>
    </row>
    <row r="60" spans="2:2" x14ac:dyDescent="0.25"/>
    <row r="61" spans="2:2" x14ac:dyDescent="0.25"/>
    <row r="62" spans="2:2" x14ac:dyDescent="0.25"/>
    <row r="63" spans="2:2" x14ac:dyDescent="0.25"/>
    <row r="64" spans="2:2" x14ac:dyDescent="0.25"/>
    <row r="65" spans="2:9" x14ac:dyDescent="0.25"/>
    <row r="66" spans="2:9" x14ac:dyDescent="0.25"/>
    <row r="67" spans="2:9" x14ac:dyDescent="0.25"/>
    <row r="68" spans="2:9" x14ac:dyDescent="0.25"/>
    <row r="69" spans="2:9" x14ac:dyDescent="0.25"/>
    <row r="70" spans="2:9" x14ac:dyDescent="0.25"/>
    <row r="71" spans="2:9" ht="13.8" x14ac:dyDescent="0.25">
      <c r="B71" s="53" t="s">
        <v>118</v>
      </c>
      <c r="C71" s="54"/>
      <c r="D71" s="54"/>
      <c r="E71" s="54"/>
      <c r="F71" s="54"/>
      <c r="G71" s="54"/>
      <c r="H71" s="54"/>
      <c r="I71" s="54"/>
    </row>
    <row r="72" spans="2:9" x14ac:dyDescent="0.25">
      <c r="B72" t="s">
        <v>121</v>
      </c>
    </row>
    <row r="73" spans="2:9" x14ac:dyDescent="0.25">
      <c r="B73" t="s">
        <v>122</v>
      </c>
    </row>
    <row r="74" spans="2:9" x14ac:dyDescent="0.25">
      <c r="B74" t="s">
        <v>123</v>
      </c>
    </row>
    <row r="75" spans="2:9" x14ac:dyDescent="0.25">
      <c r="B75" t="s">
        <v>124</v>
      </c>
    </row>
    <row r="76" spans="2:9" x14ac:dyDescent="0.25">
      <c r="B76" t="s">
        <v>125</v>
      </c>
    </row>
    <row r="77" spans="2:9" x14ac:dyDescent="0.25"/>
    <row r="78" spans="2:9" x14ac:dyDescent="0.25"/>
    <row r="79" spans="2:9" x14ac:dyDescent="0.25"/>
    <row r="80" spans="2:9"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AxRegion">
          <controlPr defaultSize="0" autoLine="0" listFillRange="MRegion" r:id="rId5">
            <anchor moveWithCells="1">
              <from>
                <xdr:col>1</xdr:col>
                <xdr:colOff>304800</xdr:colOff>
                <xdr:row>29</xdr:row>
                <xdr:rowOff>0</xdr:rowOff>
              </from>
              <to>
                <xdr:col>2</xdr:col>
                <xdr:colOff>228600</xdr:colOff>
                <xdr:row>30</xdr:row>
                <xdr:rowOff>60960</xdr:rowOff>
              </to>
            </anchor>
          </controlPr>
        </control>
      </mc:Choice>
      <mc:Fallback>
        <control shapeId="1027" r:id="rId4" name="AxRegion"/>
      </mc:Fallback>
    </mc:AlternateContent>
    <mc:AlternateContent xmlns:mc="http://schemas.openxmlformats.org/markup-compatibility/2006">
      <mc:Choice Requires="x14">
        <control shapeId="1025" r:id="rId6" name="Button 1">
          <controlPr defaultSize="0" autoFill="0" autoPict="0" macro="[0]!ImportData">
            <anchor moveWithCells="1" sizeWithCells="1">
              <from>
                <xdr:col>5</xdr:col>
                <xdr:colOff>266700</xdr:colOff>
                <xdr:row>16</xdr:row>
                <xdr:rowOff>91440</xdr:rowOff>
              </from>
              <to>
                <xdr:col>8</xdr:col>
                <xdr:colOff>228600</xdr:colOff>
                <xdr:row>20</xdr:row>
                <xdr:rowOff>106680</xdr:rowOff>
              </to>
            </anchor>
          </controlPr>
        </control>
      </mc:Choice>
    </mc:AlternateContent>
    <mc:AlternateContent xmlns:mc="http://schemas.openxmlformats.org/markup-compatibility/2006">
      <mc:Choice Requires="x14">
        <control shapeId="1028" r:id="rId7" name="Button 4">
          <controlPr defaultSize="0" autoFill="0" autoPict="0" macro="[0]!UpdateWorkings">
            <anchor moveWithCells="1" sizeWithCells="1">
              <from>
                <xdr:col>5</xdr:col>
                <xdr:colOff>53340</xdr:colOff>
                <xdr:row>33</xdr:row>
                <xdr:rowOff>160020</xdr:rowOff>
              </from>
              <to>
                <xdr:col>8</xdr:col>
                <xdr:colOff>365760</xdr:colOff>
                <xdr:row>38</xdr:row>
                <xdr:rowOff>7620</xdr:rowOff>
              </to>
            </anchor>
          </controlPr>
        </control>
      </mc:Choice>
    </mc:AlternateContent>
    <mc:AlternateContent xmlns:mc="http://schemas.openxmlformats.org/markup-compatibility/2006">
      <mc:Choice Requires="x14">
        <control shapeId="1029" r:id="rId8" name="Button 5">
          <controlPr defaultSize="0" autoFill="0" autoPict="0" macro="[0]!RM_Report">
            <anchor moveWithCells="1" sizeWithCells="1">
              <from>
                <xdr:col>5</xdr:col>
                <xdr:colOff>121920</xdr:colOff>
                <xdr:row>43</xdr:row>
                <xdr:rowOff>114300</xdr:rowOff>
              </from>
              <to>
                <xdr:col>8</xdr:col>
                <xdr:colOff>144780</xdr:colOff>
                <xdr:row>47</xdr:row>
                <xdr:rowOff>53340</xdr:rowOff>
              </to>
            </anchor>
          </controlPr>
        </control>
      </mc:Choice>
    </mc:AlternateContent>
    <mc:AlternateContent xmlns:mc="http://schemas.openxmlformats.org/markup-compatibility/2006">
      <mc:Choice Requires="x14">
        <control shapeId="1030" r:id="rId9" name="Button 6">
          <controlPr defaultSize="0" autoFill="0" autoPict="0" macro="[0]!TM_Report">
            <anchor moveWithCells="1" sizeWithCells="1">
              <from>
                <xdr:col>5</xdr:col>
                <xdr:colOff>220980</xdr:colOff>
                <xdr:row>50</xdr:row>
                <xdr:rowOff>121920</xdr:rowOff>
              </from>
              <to>
                <xdr:col>8</xdr:col>
                <xdr:colOff>182880</xdr:colOff>
                <xdr:row>54</xdr:row>
                <xdr:rowOff>129540</xdr:rowOff>
              </to>
            </anchor>
          </controlPr>
        </control>
      </mc:Choice>
    </mc:AlternateContent>
    <mc:AlternateContent xmlns:mc="http://schemas.openxmlformats.org/markup-compatibility/2006">
      <mc:Choice Requires="x14">
        <control shapeId="1031" r:id="rId10" name="Button 7">
          <controlPr defaultSize="0" autoFill="0" autoPict="0" macro="[0]!ExportAsCSV">
            <anchor moveWithCells="1" sizeWithCells="1">
              <from>
                <xdr:col>5</xdr:col>
                <xdr:colOff>327660</xdr:colOff>
                <xdr:row>61</xdr:row>
                <xdr:rowOff>7620</xdr:rowOff>
              </from>
              <to>
                <xdr:col>8</xdr:col>
                <xdr:colOff>190500</xdr:colOff>
                <xdr:row>65</xdr:row>
                <xdr:rowOff>15240</xdr:rowOff>
              </to>
            </anchor>
          </controlPr>
        </control>
      </mc:Choice>
    </mc:AlternateContent>
    <mc:AlternateContent xmlns:mc="http://schemas.openxmlformats.org/markup-compatibility/2006">
      <mc:Choice Requires="x14">
        <control shapeId="1033" r:id="rId11" name="Button 9">
          <controlPr defaultSize="0" autoFill="0" autoPict="0" macro="[0]!ClearWorkbook">
            <anchor moveWithCells="1" sizeWithCells="1">
              <from>
                <xdr:col>5</xdr:col>
                <xdr:colOff>175260</xdr:colOff>
                <xdr:row>6</xdr:row>
                <xdr:rowOff>7620</xdr:rowOff>
              </from>
              <to>
                <xdr:col>8</xdr:col>
                <xdr:colOff>15240</xdr:colOff>
                <xdr:row>9</xdr:row>
                <xdr:rowOff>121920</xdr:rowOff>
              </to>
            </anchor>
          </controlPr>
        </control>
      </mc:Choice>
    </mc:AlternateContent>
    <mc:AlternateContent xmlns:mc="http://schemas.openxmlformats.org/markup-compatibility/2006">
      <mc:Choice Requires="x14">
        <control shapeId="1035" r:id="rId12" name="Button 11">
          <controlPr defaultSize="0" autoFill="0" autoPict="0" macro="[0]!Hide_Unhide_Sheets">
            <anchor moveWithCells="1" sizeWithCells="1">
              <from>
                <xdr:col>9</xdr:col>
                <xdr:colOff>457200</xdr:colOff>
                <xdr:row>5</xdr:row>
                <xdr:rowOff>152400</xdr:rowOff>
              </from>
              <to>
                <xdr:col>11</xdr:col>
                <xdr:colOff>617220</xdr:colOff>
                <xdr:row>9</xdr:row>
                <xdr:rowOff>76200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Region">
    <tabColor theme="5" tint="0.59999389629810485"/>
  </sheetPr>
  <dimension ref="A1:AU78"/>
  <sheetViews>
    <sheetView showGridLines="0" zoomScaleNormal="100" workbookViewId="0">
      <selection activeCell="E15" sqref="E15"/>
    </sheetView>
  </sheetViews>
  <sheetFormatPr defaultRowHeight="13.2" x14ac:dyDescent="0.25"/>
  <cols>
    <col min="1" max="1" width="14.5546875" customWidth="1"/>
    <col min="2" max="2" width="18.88671875" customWidth="1"/>
    <col min="3" max="3" width="18.109375" customWidth="1"/>
    <col min="4" max="4" width="17.88671875" customWidth="1"/>
    <col min="5" max="5" width="14.5546875" customWidth="1"/>
    <col min="6" max="6" width="10.109375" customWidth="1"/>
    <col min="7" max="7" width="11.109375" customWidth="1"/>
    <col min="8" max="8" width="23.77734375" customWidth="1"/>
    <col min="9" max="9" width="18.109375" customWidth="1"/>
    <col min="10" max="10" width="18.6640625" customWidth="1"/>
    <col min="11" max="11" width="29.88671875" bestFit="1" customWidth="1"/>
    <col min="12" max="12" width="12.5546875" customWidth="1"/>
    <col min="13" max="13" width="18.21875" customWidth="1"/>
    <col min="18" max="18" width="3.77734375" customWidth="1"/>
    <col min="19" max="19" width="14" bestFit="1" customWidth="1"/>
    <col min="20" max="20" width="21.44140625" bestFit="1" customWidth="1"/>
    <col min="21" max="21" width="12.109375" customWidth="1"/>
    <col min="23" max="23" width="4.33203125" customWidth="1"/>
    <col min="24" max="24" width="29.88671875" bestFit="1" customWidth="1"/>
    <col min="25" max="25" width="21.88671875" bestFit="1" customWidth="1"/>
    <col min="26" max="26" width="11.5546875" customWidth="1"/>
    <col min="29" max="29" width="29.88671875" bestFit="1" customWidth="1"/>
    <col min="30" max="30" width="10.88671875" customWidth="1"/>
    <col min="31" max="31" width="12.88671875" customWidth="1"/>
    <col min="36" max="36" width="4.33203125" customWidth="1"/>
    <col min="37" max="37" width="42.6640625" customWidth="1"/>
    <col min="38" max="38" width="15.21875" bestFit="1" customWidth="1"/>
    <col min="39" max="39" width="12.109375" customWidth="1"/>
  </cols>
  <sheetData>
    <row r="1" spans="1:47" ht="37.799999999999997" customHeight="1" x14ac:dyDescent="0.25">
      <c r="A1" s="37" t="s">
        <v>39</v>
      </c>
      <c r="B1" s="37" t="s">
        <v>2</v>
      </c>
      <c r="C1" s="37" t="s">
        <v>40</v>
      </c>
      <c r="D1" s="37" t="s">
        <v>49</v>
      </c>
      <c r="E1" s="37" t="s">
        <v>52</v>
      </c>
      <c r="F1" s="37" t="s">
        <v>43</v>
      </c>
      <c r="G1" s="37" t="s">
        <v>41</v>
      </c>
      <c r="H1" s="37" t="s">
        <v>91</v>
      </c>
      <c r="I1" s="37" t="s">
        <v>35</v>
      </c>
      <c r="J1" s="37" t="s">
        <v>44</v>
      </c>
      <c r="K1" s="37" t="s">
        <v>92</v>
      </c>
      <c r="L1" s="37" t="s">
        <v>3</v>
      </c>
      <c r="M1" s="37" t="s">
        <v>93</v>
      </c>
      <c r="R1" s="38"/>
      <c r="S1" s="39" t="s">
        <v>94</v>
      </c>
      <c r="T1" s="40"/>
      <c r="U1" s="65" t="str">
        <f>YEAR($C$2)&amp;MONTH($C$2)</f>
        <v>201810</v>
      </c>
      <c r="W1" s="38"/>
      <c r="X1" s="39" t="s">
        <v>99</v>
      </c>
      <c r="Y1" s="40"/>
      <c r="Z1" s="40"/>
      <c r="AA1" s="40"/>
      <c r="AB1" s="40"/>
      <c r="AC1" s="40"/>
      <c r="AD1" s="40"/>
      <c r="AE1" s="40"/>
      <c r="AF1" s="40"/>
      <c r="AG1" s="40"/>
      <c r="AJ1" s="51"/>
      <c r="AK1" s="39" t="s">
        <v>103</v>
      </c>
      <c r="AL1" s="39"/>
      <c r="AM1" s="40"/>
      <c r="AN1" s="40"/>
      <c r="AO1" s="40"/>
      <c r="AP1" s="40"/>
      <c r="AQ1" s="40"/>
      <c r="AR1" s="40"/>
      <c r="AS1" s="40"/>
      <c r="AT1" s="40"/>
      <c r="AU1" s="40"/>
    </row>
    <row r="2" spans="1:47" x14ac:dyDescent="0.25">
      <c r="A2" t="s">
        <v>30</v>
      </c>
      <c r="B2">
        <v>84030</v>
      </c>
      <c r="C2" s="34">
        <v>43380</v>
      </c>
      <c r="D2">
        <v>8050</v>
      </c>
      <c r="E2">
        <v>120</v>
      </c>
      <c r="F2" t="s">
        <v>89</v>
      </c>
      <c r="G2">
        <v>120</v>
      </c>
      <c r="H2">
        <v>6960</v>
      </c>
      <c r="I2" t="str">
        <f>VLOOKUP(TableTemp[[#This Row],[Company ID]],MCompany[],2,FALSE)</f>
        <v>Bere Kleid</v>
      </c>
      <c r="J2" t="str">
        <f>VLOOKUP(TableTemp[[#This Row],[Customer code]],MCustomer[],2,FALSE)</f>
        <v>Aida GmbH</v>
      </c>
      <c r="K2" t="str">
        <f>VLOOKUP(TableTemp[[#This Row],[Article code]],MArticle[],2,FALSE)</f>
        <v>Women evening dress Cocktail red</v>
      </c>
      <c r="L2" t="str">
        <f>VLOOKUP(TableTemp[[#This Row],[Company ID]],MCompany[],3,FALSE)</f>
        <v>EUR</v>
      </c>
      <c r="M2">
        <f>IF(TableTemp[[#This Row],[Currency]]="EUR",ROUND(VLOOKUP(MONTH(TableTemp[[#This Row],[Document Date]]),MExchange[],2,FALSE)*TableTemp[[#This Row],[Sales Local Currency]],2),ROUND(TableTemp[[#This Row],[Sales Local Currency]],2))</f>
        <v>8177.58</v>
      </c>
    </row>
    <row r="3" spans="1:47" ht="13.2" customHeight="1" x14ac:dyDescent="0.25">
      <c r="A3" t="s">
        <v>30</v>
      </c>
      <c r="B3">
        <v>84030</v>
      </c>
      <c r="C3" s="34">
        <v>43380</v>
      </c>
      <c r="D3">
        <v>8050</v>
      </c>
      <c r="E3">
        <v>104</v>
      </c>
      <c r="F3">
        <v>1</v>
      </c>
      <c r="G3">
        <v>430</v>
      </c>
      <c r="H3">
        <v>5160</v>
      </c>
      <c r="I3" s="57" t="str">
        <f>VLOOKUP(TableTemp[[#This Row],[Company ID]],MCompany[],2,FALSE)</f>
        <v>Bere Kleid</v>
      </c>
      <c r="J3" s="57" t="str">
        <f>VLOOKUP(TableTemp[[#This Row],[Customer code]],MCustomer[],2,FALSE)</f>
        <v>Aida GmbH</v>
      </c>
      <c r="K3" s="57" t="str">
        <f>VLOOKUP(TableTemp[[#This Row],[Article code]],MArticle[],2,FALSE)</f>
        <v>Women type T simple black</v>
      </c>
      <c r="L3" s="57" t="str">
        <f>VLOOKUP(TableTemp[[#This Row],[Company ID]],MCompany[],3,FALSE)</f>
        <v>EUR</v>
      </c>
      <c r="M3" s="57">
        <f>IF(TableTemp[[#This Row],[Currency]]="EUR",ROUND(VLOOKUP(MONTH(TableTemp[[#This Row],[Document Date]]),MExchange[],2,FALSE)*TableTemp[[#This Row],[Sales Local Currency]],2),ROUND(TableTemp[[#This Row],[Sales Local Currency]],2))</f>
        <v>6062.69</v>
      </c>
      <c r="AK3" s="58" t="s">
        <v>95</v>
      </c>
      <c r="AL3" s="43" t="s">
        <v>105</v>
      </c>
      <c r="AM3" s="43" t="s">
        <v>101</v>
      </c>
    </row>
    <row r="4" spans="1:47" x14ac:dyDescent="0.25">
      <c r="A4" t="s">
        <v>30</v>
      </c>
      <c r="B4">
        <v>84030</v>
      </c>
      <c r="C4" s="34">
        <v>43380</v>
      </c>
      <c r="D4">
        <v>8050</v>
      </c>
      <c r="E4">
        <v>105</v>
      </c>
      <c r="F4" t="s">
        <v>89</v>
      </c>
      <c r="G4">
        <v>120</v>
      </c>
      <c r="H4">
        <v>1200</v>
      </c>
      <c r="I4" s="57" t="str">
        <f>VLOOKUP(TableTemp[[#This Row],[Company ID]],MCompany[],2,FALSE)</f>
        <v>Bere Kleid</v>
      </c>
      <c r="J4" s="57" t="str">
        <f>VLOOKUP(TableTemp[[#This Row],[Customer code]],MCustomer[],2,FALSE)</f>
        <v>Aida GmbH</v>
      </c>
      <c r="K4" s="57" t="str">
        <f>VLOOKUP(TableTemp[[#This Row],[Article code]],MArticle[],2,FALSE)</f>
        <v>Women crop top black</v>
      </c>
      <c r="L4" s="57" t="str">
        <f>VLOOKUP(TableTemp[[#This Row],[Company ID]],MCompany[],3,FALSE)</f>
        <v>EUR</v>
      </c>
      <c r="M4" s="57">
        <f>IF(TableTemp[[#This Row],[Currency]]="EUR",ROUND(VLOOKUP(MONTH(TableTemp[[#This Row],[Document Date]]),MExchange[],2,FALSE)*TableTemp[[#This Row],[Sales Local Currency]],2),ROUND(TableTemp[[#This Row],[Sales Local Currency]],2))</f>
        <v>1409.93</v>
      </c>
      <c r="R4" s="46"/>
      <c r="W4" s="46"/>
      <c r="AJ4" s="46"/>
      <c r="AK4" s="42" t="s">
        <v>34</v>
      </c>
      <c r="AL4" s="48"/>
      <c r="AM4" s="48"/>
    </row>
    <row r="5" spans="1:47" x14ac:dyDescent="0.25">
      <c r="A5" t="s">
        <v>30</v>
      </c>
      <c r="B5">
        <v>84030</v>
      </c>
      <c r="C5" s="34">
        <v>43380</v>
      </c>
      <c r="D5">
        <v>8050</v>
      </c>
      <c r="E5">
        <v>107</v>
      </c>
      <c r="F5">
        <v>1</v>
      </c>
      <c r="G5">
        <v>690</v>
      </c>
      <c r="H5">
        <v>3450</v>
      </c>
      <c r="I5" s="57" t="str">
        <f>VLOOKUP(TableTemp[[#This Row],[Company ID]],MCompany[],2,FALSE)</f>
        <v>Bere Kleid</v>
      </c>
      <c r="J5" s="57" t="str">
        <f>VLOOKUP(TableTemp[[#This Row],[Customer code]],MCustomer[],2,FALSE)</f>
        <v>Aida GmbH</v>
      </c>
      <c r="K5" s="57" t="str">
        <f>VLOOKUP(TableTemp[[#This Row],[Article code]],MArticle[],2,FALSE)</f>
        <v>Women basics</v>
      </c>
      <c r="L5" s="57" t="str">
        <f>VLOOKUP(TableTemp[[#This Row],[Company ID]],MCompany[],3,FALSE)</f>
        <v>EUR</v>
      </c>
      <c r="M5" s="57">
        <f>IF(TableTemp[[#This Row],[Currency]]="EUR",ROUND(VLOOKUP(MONTH(TableTemp[[#This Row],[Document Date]]),MExchange[],2,FALSE)*TableTemp[[#This Row],[Sales Local Currency]],2),ROUND(TableTemp[[#This Row],[Sales Local Currency]],2))</f>
        <v>4053.54</v>
      </c>
      <c r="R5" s="46"/>
      <c r="S5" s="58" t="s">
        <v>97</v>
      </c>
      <c r="T5" s="59" t="s">
        <v>98</v>
      </c>
      <c r="U5" s="56" t="s">
        <v>88</v>
      </c>
      <c r="W5" s="46"/>
      <c r="X5" s="58" t="s">
        <v>100</v>
      </c>
      <c r="Y5" s="59" t="s">
        <v>98</v>
      </c>
      <c r="Z5" s="59" t="s">
        <v>101</v>
      </c>
      <c r="AC5" s="41" t="s">
        <v>100</v>
      </c>
      <c r="AD5" t="s">
        <v>102</v>
      </c>
      <c r="AE5" s="43" t="s">
        <v>104</v>
      </c>
      <c r="AJ5" s="46"/>
      <c r="AK5" s="47" t="s">
        <v>60</v>
      </c>
      <c r="AL5" s="48"/>
      <c r="AM5" s="48"/>
    </row>
    <row r="6" spans="1:47" x14ac:dyDescent="0.25">
      <c r="A6" t="s">
        <v>30</v>
      </c>
      <c r="B6">
        <v>84031</v>
      </c>
      <c r="C6" s="34">
        <v>43381</v>
      </c>
      <c r="D6">
        <v>8040</v>
      </c>
      <c r="E6">
        <v>104</v>
      </c>
      <c r="F6" t="s">
        <v>89</v>
      </c>
      <c r="G6">
        <v>870</v>
      </c>
      <c r="H6">
        <v>10440</v>
      </c>
      <c r="I6" s="57" t="str">
        <f>VLOOKUP(TableTemp[[#This Row],[Company ID]],MCompany[],2,FALSE)</f>
        <v>Bere Kleid</v>
      </c>
      <c r="J6" s="57" t="str">
        <f>VLOOKUP(TableTemp[[#This Row],[Customer code]],MCustomer[],2,FALSE)</f>
        <v>Werner Strauss</v>
      </c>
      <c r="K6" s="57" t="str">
        <f>VLOOKUP(TableTemp[[#This Row],[Article code]],MArticle[],2,FALSE)</f>
        <v>Women type T simple black</v>
      </c>
      <c r="L6" s="57" t="str">
        <f>VLOOKUP(TableTemp[[#This Row],[Company ID]],MCompany[],3,FALSE)</f>
        <v>EUR</v>
      </c>
      <c r="M6" s="57">
        <f>IF(TableTemp[[#This Row],[Currency]]="EUR",ROUND(VLOOKUP(MONTH(TableTemp[[#This Row],[Document Date]]),MExchange[],2,FALSE)*TableTemp[[#This Row],[Sales Local Currency]],2),ROUND(TableTemp[[#This Row],[Sales Local Currency]],2))</f>
        <v>12266.36</v>
      </c>
      <c r="R6" s="46"/>
      <c r="S6" s="62" t="s">
        <v>59</v>
      </c>
      <c r="T6" s="63">
        <v>378530.11</v>
      </c>
      <c r="U6" s="64">
        <v>0.58348273131003381</v>
      </c>
      <c r="W6" s="46"/>
      <c r="X6" s="42" t="s">
        <v>13</v>
      </c>
      <c r="Y6" s="48">
        <v>159321.73000000001</v>
      </c>
      <c r="Z6" s="49">
        <v>2260</v>
      </c>
      <c r="AC6" s="42" t="s">
        <v>12</v>
      </c>
      <c r="AD6" s="57">
        <v>6</v>
      </c>
      <c r="AE6" s="50">
        <v>3.2786885245901639E-3</v>
      </c>
      <c r="AJ6" s="46"/>
      <c r="AK6" s="52" t="s">
        <v>23</v>
      </c>
      <c r="AL6" s="48">
        <v>42250.810000000005</v>
      </c>
      <c r="AM6" s="48">
        <v>620</v>
      </c>
    </row>
    <row r="7" spans="1:47" x14ac:dyDescent="0.25">
      <c r="A7" t="s">
        <v>30</v>
      </c>
      <c r="B7">
        <v>84031</v>
      </c>
      <c r="C7" s="34">
        <v>43381</v>
      </c>
      <c r="D7">
        <v>8040</v>
      </c>
      <c r="E7">
        <v>107</v>
      </c>
      <c r="F7" t="s">
        <v>89</v>
      </c>
      <c r="G7">
        <v>760</v>
      </c>
      <c r="H7">
        <v>3800</v>
      </c>
      <c r="I7" s="57" t="str">
        <f>VLOOKUP(TableTemp[[#This Row],[Company ID]],MCompany[],2,FALSE)</f>
        <v>Bere Kleid</v>
      </c>
      <c r="J7" s="57" t="str">
        <f>VLOOKUP(TableTemp[[#This Row],[Customer code]],MCustomer[],2,FALSE)</f>
        <v>Werner Strauss</v>
      </c>
      <c r="K7" s="57" t="str">
        <f>VLOOKUP(TableTemp[[#This Row],[Article code]],MArticle[],2,FALSE)</f>
        <v>Women basics</v>
      </c>
      <c r="L7" s="57" t="str">
        <f>VLOOKUP(TableTemp[[#This Row],[Company ID]],MCompany[],3,FALSE)</f>
        <v>EUR</v>
      </c>
      <c r="M7" s="57">
        <f>IF(TableTemp[[#This Row],[Currency]]="EUR",ROUND(VLOOKUP(MONTH(TableTemp[[#This Row],[Document Date]]),MExchange[],2,FALSE)*TableTemp[[#This Row],[Sales Local Currency]],2),ROUND(TableTemp[[#This Row],[Sales Local Currency]],2))</f>
        <v>4464.7700000000004</v>
      </c>
      <c r="R7" s="46"/>
      <c r="S7" s="62" t="s">
        <v>60</v>
      </c>
      <c r="T7" s="63">
        <v>174854.43999999997</v>
      </c>
      <c r="U7" s="64">
        <v>0.269528218595045</v>
      </c>
      <c r="W7" s="46"/>
      <c r="X7" s="42" t="s">
        <v>22</v>
      </c>
      <c r="Y7" s="48">
        <v>158804.76</v>
      </c>
      <c r="Z7" s="49">
        <v>2180</v>
      </c>
      <c r="AC7" s="42" t="s">
        <v>13</v>
      </c>
      <c r="AD7" s="57">
        <v>3</v>
      </c>
      <c r="AE7" s="50">
        <v>8.8495575221238937E-4</v>
      </c>
      <c r="AJ7" s="46"/>
      <c r="AK7" s="52" t="s">
        <v>11</v>
      </c>
      <c r="AL7" s="48">
        <v>26318.63</v>
      </c>
      <c r="AM7" s="48">
        <v>800</v>
      </c>
    </row>
    <row r="8" spans="1:47" x14ac:dyDescent="0.25">
      <c r="A8" t="s">
        <v>30</v>
      </c>
      <c r="B8">
        <v>84031</v>
      </c>
      <c r="C8" s="34">
        <v>43381</v>
      </c>
      <c r="D8">
        <v>8040</v>
      </c>
      <c r="E8">
        <v>110</v>
      </c>
      <c r="F8">
        <v>2</v>
      </c>
      <c r="G8">
        <v>500</v>
      </c>
      <c r="H8">
        <v>30000</v>
      </c>
      <c r="I8" s="57" t="str">
        <f>VLOOKUP(TableTemp[[#This Row],[Company ID]],MCompany[],2,FALSE)</f>
        <v>Bere Kleid</v>
      </c>
      <c r="J8" s="57" t="str">
        <f>VLOOKUP(TableTemp[[#This Row],[Customer code]],MCustomer[],2,FALSE)</f>
        <v>Werner Strauss</v>
      </c>
      <c r="K8" s="57" t="str">
        <f>VLOOKUP(TableTemp[[#This Row],[Article code]],MArticle[],2,FALSE)</f>
        <v>Smartphone case diamond</v>
      </c>
      <c r="L8" s="57" t="str">
        <f>VLOOKUP(TableTemp[[#This Row],[Company ID]],MCompany[],3,FALSE)</f>
        <v>EUR</v>
      </c>
      <c r="M8" s="57">
        <f>IF(TableTemp[[#This Row],[Currency]]="EUR",ROUND(VLOOKUP(MONTH(TableTemp[[#This Row],[Document Date]]),MExchange[],2,FALSE)*TableTemp[[#This Row],[Sales Local Currency]],2),ROUND(TableTemp[[#This Row],[Sales Local Currency]],2))</f>
        <v>35248.17</v>
      </c>
      <c r="R8" s="46"/>
      <c r="S8" s="62" t="s">
        <v>61</v>
      </c>
      <c r="T8" s="63">
        <v>58511.98</v>
      </c>
      <c r="U8" s="64">
        <v>9.0192904085643483E-2</v>
      </c>
      <c r="W8" s="46"/>
      <c r="X8" s="42" t="s">
        <v>23</v>
      </c>
      <c r="Y8" s="48">
        <v>104945.56</v>
      </c>
      <c r="Z8" s="49">
        <v>1540</v>
      </c>
      <c r="AC8" s="42" t="s">
        <v>11</v>
      </c>
      <c r="AD8" s="57">
        <v>3</v>
      </c>
      <c r="AE8" s="50">
        <v>0</v>
      </c>
      <c r="AJ8" s="46"/>
      <c r="AK8" s="52" t="s">
        <v>22</v>
      </c>
      <c r="AL8" s="48">
        <v>26224.639999999999</v>
      </c>
      <c r="AM8" s="48">
        <v>360</v>
      </c>
    </row>
    <row r="9" spans="1:47" x14ac:dyDescent="0.25">
      <c r="A9" t="s">
        <v>30</v>
      </c>
      <c r="B9">
        <v>88112</v>
      </c>
      <c r="C9" s="34">
        <v>43384</v>
      </c>
      <c r="D9">
        <v>8040</v>
      </c>
      <c r="E9">
        <v>110</v>
      </c>
      <c r="G9">
        <v>480</v>
      </c>
      <c r="H9">
        <v>28800</v>
      </c>
      <c r="I9" s="57" t="str">
        <f>VLOOKUP(TableTemp[[#This Row],[Company ID]],MCompany[],2,FALSE)</f>
        <v>Bere Kleid</v>
      </c>
      <c r="J9" s="57" t="str">
        <f>VLOOKUP(TableTemp[[#This Row],[Customer code]],MCustomer[],2,FALSE)</f>
        <v>Werner Strauss</v>
      </c>
      <c r="K9" s="57" t="str">
        <f>VLOOKUP(TableTemp[[#This Row],[Article code]],MArticle[],2,FALSE)</f>
        <v>Smartphone case diamond</v>
      </c>
      <c r="L9" s="57" t="str">
        <f>VLOOKUP(TableTemp[[#This Row],[Company ID]],MCompany[],3,FALSE)</f>
        <v>EUR</v>
      </c>
      <c r="M9" s="57">
        <f>IF(TableTemp[[#This Row],[Currency]]="EUR",ROUND(VLOOKUP(MONTH(TableTemp[[#This Row],[Document Date]]),MExchange[],2,FALSE)*TableTemp[[#This Row],[Sales Local Currency]],2),ROUND(TableTemp[[#This Row],[Sales Local Currency]],2))</f>
        <v>33838.239999999998</v>
      </c>
      <c r="R9" s="46"/>
      <c r="S9" s="62" t="s">
        <v>48</v>
      </c>
      <c r="T9" s="63">
        <v>36846.080000000002</v>
      </c>
      <c r="U9" s="64">
        <v>5.6796146009277869E-2</v>
      </c>
      <c r="W9" s="46"/>
      <c r="X9" s="42" t="s">
        <v>12</v>
      </c>
      <c r="Y9" s="48">
        <v>60203.890000000007</v>
      </c>
      <c r="Z9" s="49">
        <v>1830</v>
      </c>
      <c r="AC9" s="42" t="s">
        <v>4</v>
      </c>
      <c r="AD9" s="57">
        <v>2</v>
      </c>
      <c r="AE9" s="50">
        <v>1.3888888888888889E-3</v>
      </c>
      <c r="AJ9" s="46"/>
      <c r="AK9" s="52" t="s">
        <v>9</v>
      </c>
      <c r="AL9" s="48">
        <v>12266.369999999999</v>
      </c>
      <c r="AM9" s="48">
        <v>870</v>
      </c>
    </row>
    <row r="10" spans="1:47" x14ac:dyDescent="0.25">
      <c r="A10" t="s">
        <v>30</v>
      </c>
      <c r="B10">
        <v>88112</v>
      </c>
      <c r="C10" s="34">
        <v>43384</v>
      </c>
      <c r="D10">
        <v>8040</v>
      </c>
      <c r="E10">
        <v>119</v>
      </c>
      <c r="F10" t="s">
        <v>89</v>
      </c>
      <c r="G10">
        <v>630</v>
      </c>
      <c r="H10">
        <v>39060</v>
      </c>
      <c r="I10" s="57" t="str">
        <f>VLOOKUP(TableTemp[[#This Row],[Company ID]],MCompany[],2,FALSE)</f>
        <v>Bere Kleid</v>
      </c>
      <c r="J10" s="57" t="str">
        <f>VLOOKUP(TableTemp[[#This Row],[Customer code]],MCustomer[],2,FALSE)</f>
        <v>Werner Strauss</v>
      </c>
      <c r="K10" s="57" t="str">
        <f>VLOOKUP(TableTemp[[#This Row],[Article code]],MArticle[],2,FALSE)</f>
        <v>Women evening dress long black</v>
      </c>
      <c r="L10" s="57" t="str">
        <f>VLOOKUP(TableTemp[[#This Row],[Company ID]],MCompany[],3,FALSE)</f>
        <v>EUR</v>
      </c>
      <c r="M10" s="57">
        <f>IF(TableTemp[[#This Row],[Currency]]="EUR",ROUND(VLOOKUP(MONTH(TableTemp[[#This Row],[Document Date]]),MExchange[],2,FALSE)*TableTemp[[#This Row],[Sales Local Currency]],2),ROUND(TableTemp[[#This Row],[Sales Local Currency]],2))</f>
        <v>45893.120000000003</v>
      </c>
      <c r="R10" s="46"/>
      <c r="S10" s="42" t="s">
        <v>96</v>
      </c>
      <c r="T10" s="45">
        <v>648742.60999999987</v>
      </c>
      <c r="U10" s="44">
        <v>1</v>
      </c>
      <c r="W10" s="46"/>
      <c r="X10" s="62" t="s">
        <v>11</v>
      </c>
      <c r="Y10" s="60">
        <v>50992.350000000006</v>
      </c>
      <c r="Z10" s="61">
        <v>1550</v>
      </c>
      <c r="AC10" s="42" t="s">
        <v>22</v>
      </c>
      <c r="AD10" s="57">
        <v>2</v>
      </c>
      <c r="AE10" s="50">
        <v>4.5871559633027525E-4</v>
      </c>
      <c r="AJ10" s="46"/>
      <c r="AK10" s="52" t="s">
        <v>8</v>
      </c>
      <c r="AL10" s="48">
        <v>8882.5400000000009</v>
      </c>
      <c r="AM10" s="48">
        <v>630</v>
      </c>
    </row>
    <row r="11" spans="1:47" x14ac:dyDescent="0.25">
      <c r="A11" t="s">
        <v>30</v>
      </c>
      <c r="B11">
        <v>88112</v>
      </c>
      <c r="C11" s="34">
        <v>43384</v>
      </c>
      <c r="D11">
        <v>8040</v>
      </c>
      <c r="E11">
        <v>120</v>
      </c>
      <c r="G11">
        <v>150</v>
      </c>
      <c r="H11">
        <v>8700</v>
      </c>
      <c r="I11" s="57" t="str">
        <f>VLOOKUP(TableTemp[[#This Row],[Company ID]],MCompany[],2,FALSE)</f>
        <v>Bere Kleid</v>
      </c>
      <c r="J11" s="57" t="str">
        <f>VLOOKUP(TableTemp[[#This Row],[Customer code]],MCustomer[],2,FALSE)</f>
        <v>Werner Strauss</v>
      </c>
      <c r="K11" s="57" t="str">
        <f>VLOOKUP(TableTemp[[#This Row],[Article code]],MArticle[],2,FALSE)</f>
        <v>Women evening dress Cocktail red</v>
      </c>
      <c r="L11" s="57" t="str">
        <f>VLOOKUP(TableTemp[[#This Row],[Company ID]],MCompany[],3,FALSE)</f>
        <v>EUR</v>
      </c>
      <c r="M11" s="57">
        <f>IF(TableTemp[[#This Row],[Currency]]="EUR",ROUND(VLOOKUP(MONTH(TableTemp[[#This Row],[Document Date]]),MExchange[],2,FALSE)*TableTemp[[#This Row],[Sales Local Currency]],2),ROUND(TableTemp[[#This Row],[Sales Local Currency]],2))</f>
        <v>10221.969999999999</v>
      </c>
      <c r="R11" s="46"/>
      <c r="W11" s="46"/>
      <c r="X11" s="42" t="s">
        <v>14</v>
      </c>
      <c r="Y11" s="48">
        <v>38068.030000000006</v>
      </c>
      <c r="Z11" s="49">
        <v>1620</v>
      </c>
      <c r="AC11" s="42" t="s">
        <v>10</v>
      </c>
      <c r="AD11" s="57">
        <v>2</v>
      </c>
      <c r="AE11" s="50">
        <v>3.3898305084745765E-4</v>
      </c>
      <c r="AJ11" s="46"/>
      <c r="AK11" s="52" t="s">
        <v>18</v>
      </c>
      <c r="AL11" s="48">
        <v>5710.2</v>
      </c>
      <c r="AM11" s="48">
        <v>810</v>
      </c>
    </row>
    <row r="12" spans="1:47" x14ac:dyDescent="0.25">
      <c r="A12" t="s">
        <v>30</v>
      </c>
      <c r="B12">
        <v>88112</v>
      </c>
      <c r="C12" s="34">
        <v>43384</v>
      </c>
      <c r="D12">
        <v>8040</v>
      </c>
      <c r="E12">
        <v>116</v>
      </c>
      <c r="F12">
        <v>4</v>
      </c>
      <c r="G12">
        <v>760</v>
      </c>
      <c r="H12">
        <v>4560</v>
      </c>
      <c r="I12" s="57" t="str">
        <f>VLOOKUP(TableTemp[[#This Row],[Company ID]],MCompany[],2,FALSE)</f>
        <v>Bere Kleid</v>
      </c>
      <c r="J12" s="57" t="str">
        <f>VLOOKUP(TableTemp[[#This Row],[Customer code]],MCustomer[],2,FALSE)</f>
        <v>Werner Strauss</v>
      </c>
      <c r="K12" s="57" t="str">
        <f>VLOOKUP(TableTemp[[#This Row],[Article code]],MArticle[],2,FALSE)</f>
        <v>Unisex tank top white</v>
      </c>
      <c r="L12" s="57" t="str">
        <f>VLOOKUP(TableTemp[[#This Row],[Company ID]],MCompany[],3,FALSE)</f>
        <v>EUR</v>
      </c>
      <c r="M12" s="57">
        <f>IF(TableTemp[[#This Row],[Currency]]="EUR",ROUND(VLOOKUP(MONTH(TableTemp[[#This Row],[Document Date]]),MExchange[],2,FALSE)*TableTemp[[#This Row],[Sales Local Currency]],2),ROUND(TableTemp[[#This Row],[Sales Local Currency]],2))</f>
        <v>5357.72</v>
      </c>
      <c r="R12" s="46"/>
      <c r="W12" s="46"/>
      <c r="X12" s="62" t="s">
        <v>9</v>
      </c>
      <c r="Y12" s="60">
        <v>24532.73</v>
      </c>
      <c r="Z12" s="61">
        <v>1740</v>
      </c>
      <c r="AC12" s="42" t="s">
        <v>9</v>
      </c>
      <c r="AD12" s="57">
        <v>2</v>
      </c>
      <c r="AE12" s="50">
        <v>5.7471264367816091E-4</v>
      </c>
      <c r="AJ12" s="46"/>
      <c r="AK12" s="52" t="s">
        <v>10</v>
      </c>
      <c r="AL12" s="48">
        <v>5639.71</v>
      </c>
      <c r="AM12" s="48">
        <v>960</v>
      </c>
    </row>
    <row r="13" spans="1:47" x14ac:dyDescent="0.25">
      <c r="A13" t="s">
        <v>30</v>
      </c>
      <c r="B13">
        <v>88112</v>
      </c>
      <c r="C13" s="34">
        <v>43384</v>
      </c>
      <c r="D13">
        <v>8040</v>
      </c>
      <c r="E13">
        <v>111</v>
      </c>
      <c r="G13">
        <v>590</v>
      </c>
      <c r="H13">
        <v>11800</v>
      </c>
      <c r="I13" s="57" t="str">
        <f>VLOOKUP(TableTemp[[#This Row],[Company ID]],MCompany[],2,FALSE)</f>
        <v>Bere Kleid</v>
      </c>
      <c r="J13" s="57" t="str">
        <f>VLOOKUP(TableTemp[[#This Row],[Customer code]],MCustomer[],2,FALSE)</f>
        <v>Werner Strauss</v>
      </c>
      <c r="K13" s="57" t="str">
        <f>VLOOKUP(TableTemp[[#This Row],[Article code]],MArticle[],2,FALSE)</f>
        <v>Smartphone case simple</v>
      </c>
      <c r="L13" s="57" t="str">
        <f>VLOOKUP(TableTemp[[#This Row],[Company ID]],MCompany[],3,FALSE)</f>
        <v>EUR</v>
      </c>
      <c r="M13" s="57">
        <f>IF(TableTemp[[#This Row],[Currency]]="EUR",ROUND(VLOOKUP(MONTH(TableTemp[[#This Row],[Document Date]]),MExchange[],2,FALSE)*TableTemp[[#This Row],[Sales Local Currency]],2),ROUND(TableTemp[[#This Row],[Sales Local Currency]],2))</f>
        <v>13864.28</v>
      </c>
      <c r="R13" s="46"/>
      <c r="W13" s="46"/>
      <c r="X13" s="62" t="s">
        <v>10</v>
      </c>
      <c r="Y13" s="60">
        <v>17330.36</v>
      </c>
      <c r="Z13" s="61">
        <v>2950</v>
      </c>
      <c r="AC13" s="42" t="s">
        <v>23</v>
      </c>
      <c r="AD13" s="57">
        <v>1</v>
      </c>
      <c r="AE13" s="50">
        <v>0</v>
      </c>
      <c r="AJ13" s="46"/>
      <c r="AK13" s="52" t="s">
        <v>4</v>
      </c>
      <c r="AL13" s="48">
        <v>1409.93</v>
      </c>
      <c r="AM13" s="48">
        <v>120</v>
      </c>
    </row>
    <row r="14" spans="1:47" x14ac:dyDescent="0.25">
      <c r="A14" t="s">
        <v>30</v>
      </c>
      <c r="B14">
        <v>88112</v>
      </c>
      <c r="C14" s="34">
        <v>43384</v>
      </c>
      <c r="D14">
        <v>8040</v>
      </c>
      <c r="E14">
        <v>110</v>
      </c>
      <c r="G14">
        <v>530</v>
      </c>
      <c r="H14">
        <v>31800</v>
      </c>
      <c r="I14" s="57" t="str">
        <f>VLOOKUP(TableTemp[[#This Row],[Company ID]],MCompany[],2,FALSE)</f>
        <v>Bere Kleid</v>
      </c>
      <c r="J14" s="57" t="str">
        <f>VLOOKUP(TableTemp[[#This Row],[Customer code]],MCustomer[],2,FALSE)</f>
        <v>Werner Strauss</v>
      </c>
      <c r="K14" s="57" t="str">
        <f>VLOOKUP(TableTemp[[#This Row],[Article code]],MArticle[],2,FALSE)</f>
        <v>Smartphone case diamond</v>
      </c>
      <c r="L14" s="57" t="str">
        <f>VLOOKUP(TableTemp[[#This Row],[Company ID]],MCompany[],3,FALSE)</f>
        <v>EUR</v>
      </c>
      <c r="M14" s="57">
        <f>IF(TableTemp[[#This Row],[Currency]]="EUR",ROUND(VLOOKUP(MONTH(TableTemp[[#This Row],[Document Date]]),MExchange[],2,FALSE)*TableTemp[[#This Row],[Sales Local Currency]],2),ROUND(TableTemp[[#This Row],[Sales Local Currency]],2))</f>
        <v>37363.06</v>
      </c>
      <c r="R14" s="46"/>
      <c r="W14" s="46"/>
      <c r="X14" s="62" t="s">
        <v>8</v>
      </c>
      <c r="Y14" s="60">
        <v>10433.460000000001</v>
      </c>
      <c r="Z14" s="61">
        <v>740</v>
      </c>
      <c r="AC14" s="42" t="s">
        <v>19</v>
      </c>
      <c r="AD14" s="57">
        <v>1</v>
      </c>
      <c r="AE14" s="50">
        <v>3.9215686274509803E-3</v>
      </c>
      <c r="AJ14" s="46"/>
      <c r="AK14" s="47" t="s">
        <v>106</v>
      </c>
      <c r="AL14" s="48">
        <v>128702.83</v>
      </c>
      <c r="AM14" s="48">
        <v>5170</v>
      </c>
    </row>
    <row r="15" spans="1:47" x14ac:dyDescent="0.25">
      <c r="A15" t="s">
        <v>30</v>
      </c>
      <c r="B15">
        <v>88112</v>
      </c>
      <c r="C15" s="34">
        <v>43384</v>
      </c>
      <c r="D15">
        <v>8040</v>
      </c>
      <c r="E15">
        <v>109</v>
      </c>
      <c r="G15">
        <v>260</v>
      </c>
      <c r="H15">
        <v>7280</v>
      </c>
      <c r="I15" s="57" t="str">
        <f>VLOOKUP(TableTemp[[#This Row],[Company ID]],MCompany[],2,FALSE)</f>
        <v>Bere Kleid</v>
      </c>
      <c r="J15" s="57" t="str">
        <f>VLOOKUP(TableTemp[[#This Row],[Customer code]],MCustomer[],2,FALSE)</f>
        <v>Werner Strauss</v>
      </c>
      <c r="K15" s="57" t="str">
        <f>VLOOKUP(TableTemp[[#This Row],[Article code]],MArticle[],2,FALSE)</f>
        <v>Laptop bag red</v>
      </c>
      <c r="L15" s="57" t="str">
        <f>VLOOKUP(TableTemp[[#This Row],[Company ID]],MCompany[],3,FALSE)</f>
        <v>EUR</v>
      </c>
      <c r="M15" s="57">
        <f>IF(TableTemp[[#This Row],[Currency]]="EUR",ROUND(VLOOKUP(MONTH(TableTemp[[#This Row],[Document Date]]),MExchange[],2,FALSE)*TableTemp[[#This Row],[Sales Local Currency]],2),ROUND(TableTemp[[#This Row],[Sales Local Currency]],2))</f>
        <v>8553.56</v>
      </c>
      <c r="R15" s="46"/>
      <c r="W15" s="46"/>
      <c r="X15" s="62" t="s">
        <v>4</v>
      </c>
      <c r="Y15" s="60">
        <v>8459.5600000000013</v>
      </c>
      <c r="Z15" s="61">
        <v>720</v>
      </c>
      <c r="AC15" s="42" t="s">
        <v>18</v>
      </c>
      <c r="AD15" s="57"/>
      <c r="AE15" s="50">
        <v>0</v>
      </c>
      <c r="AJ15" s="46"/>
      <c r="AK15" s="47" t="s">
        <v>48</v>
      </c>
      <c r="AL15" s="48"/>
      <c r="AM15" s="48"/>
    </row>
    <row r="16" spans="1:47" x14ac:dyDescent="0.25">
      <c r="A16" t="s">
        <v>30</v>
      </c>
      <c r="B16">
        <v>85442</v>
      </c>
      <c r="C16" s="34">
        <v>43388</v>
      </c>
      <c r="D16">
        <v>8050</v>
      </c>
      <c r="E16">
        <v>107</v>
      </c>
      <c r="G16">
        <v>270</v>
      </c>
      <c r="H16">
        <v>1350</v>
      </c>
      <c r="I16" s="57" t="str">
        <f>VLOOKUP(TableTemp[[#This Row],[Company ID]],MCompany[],2,FALSE)</f>
        <v>Bere Kleid</v>
      </c>
      <c r="J16" s="57" t="str">
        <f>VLOOKUP(TableTemp[[#This Row],[Customer code]],MCustomer[],2,FALSE)</f>
        <v>Aida GmbH</v>
      </c>
      <c r="K16" s="57" t="str">
        <f>VLOOKUP(TableTemp[[#This Row],[Article code]],MArticle[],2,FALSE)</f>
        <v>Women basics</v>
      </c>
      <c r="L16" s="57" t="str">
        <f>VLOOKUP(TableTemp[[#This Row],[Company ID]],MCompany[],3,FALSE)</f>
        <v>EUR</v>
      </c>
      <c r="M16" s="57">
        <f>IF(TableTemp[[#This Row],[Currency]]="EUR",ROUND(VLOOKUP(MONTH(TableTemp[[#This Row],[Document Date]]),MExchange[],2,FALSE)*TableTemp[[#This Row],[Sales Local Currency]],2),ROUND(TableTemp[[#This Row],[Sales Local Currency]],2))</f>
        <v>1586.17</v>
      </c>
      <c r="R16" s="46"/>
      <c r="W16" s="46"/>
      <c r="X16" s="42" t="s">
        <v>18</v>
      </c>
      <c r="Y16" s="48">
        <v>8459.56</v>
      </c>
      <c r="Z16" s="49">
        <v>1200</v>
      </c>
      <c r="AC16" s="42" t="s">
        <v>8</v>
      </c>
      <c r="AD16" s="57"/>
      <c r="AE16" s="50">
        <v>0</v>
      </c>
      <c r="AJ16" s="46"/>
      <c r="AK16" s="52" t="s">
        <v>22</v>
      </c>
      <c r="AL16" s="48">
        <v>24039.25</v>
      </c>
      <c r="AM16" s="48">
        <v>330</v>
      </c>
    </row>
    <row r="17" spans="1:39" x14ac:dyDescent="0.25">
      <c r="A17" t="s">
        <v>30</v>
      </c>
      <c r="B17">
        <v>85442</v>
      </c>
      <c r="C17" s="34">
        <v>43388</v>
      </c>
      <c r="D17">
        <v>8050</v>
      </c>
      <c r="E17">
        <v>103</v>
      </c>
      <c r="G17">
        <v>630</v>
      </c>
      <c r="H17">
        <v>7560</v>
      </c>
      <c r="I17" s="57" t="str">
        <f>VLOOKUP(TableTemp[[#This Row],[Company ID]],MCompany[],2,FALSE)</f>
        <v>Bere Kleid</v>
      </c>
      <c r="J17" s="57" t="str">
        <f>VLOOKUP(TableTemp[[#This Row],[Customer code]],MCustomer[],2,FALSE)</f>
        <v>Aida GmbH</v>
      </c>
      <c r="K17" s="57" t="str">
        <f>VLOOKUP(TableTemp[[#This Row],[Article code]],MArticle[],2,FALSE)</f>
        <v>Women type T simple white</v>
      </c>
      <c r="L17" s="57" t="str">
        <f>VLOOKUP(TableTemp[[#This Row],[Company ID]],MCompany[],3,FALSE)</f>
        <v>EUR</v>
      </c>
      <c r="M17" s="57">
        <f>IF(TableTemp[[#This Row],[Currency]]="EUR",ROUND(VLOOKUP(MONTH(TableTemp[[#This Row],[Document Date]]),MExchange[],2,FALSE)*TableTemp[[#This Row],[Sales Local Currency]],2),ROUND(TableTemp[[#This Row],[Sales Local Currency]],2))</f>
        <v>8882.5400000000009</v>
      </c>
      <c r="R17" s="46"/>
      <c r="W17" s="46"/>
      <c r="X17" s="62" t="s">
        <v>19</v>
      </c>
      <c r="Y17" s="60">
        <v>7190.6200000000008</v>
      </c>
      <c r="Z17" s="61">
        <v>1020</v>
      </c>
      <c r="AC17" s="42" t="s">
        <v>14</v>
      </c>
      <c r="AD17" s="57"/>
      <c r="AE17" s="50">
        <v>0</v>
      </c>
      <c r="AJ17" s="46"/>
      <c r="AK17" s="52" t="s">
        <v>4</v>
      </c>
      <c r="AL17" s="48">
        <v>5522.21</v>
      </c>
      <c r="AM17" s="48">
        <v>470</v>
      </c>
    </row>
    <row r="18" spans="1:39" x14ac:dyDescent="0.25">
      <c r="A18" t="s">
        <v>30</v>
      </c>
      <c r="B18">
        <v>85442</v>
      </c>
      <c r="C18" s="34">
        <v>43388</v>
      </c>
      <c r="D18">
        <v>8050</v>
      </c>
      <c r="E18">
        <v>104</v>
      </c>
      <c r="G18">
        <v>440</v>
      </c>
      <c r="H18">
        <v>5280</v>
      </c>
      <c r="I18" s="57" t="str">
        <f>VLOOKUP(TableTemp[[#This Row],[Company ID]],MCompany[],2,FALSE)</f>
        <v>Bere Kleid</v>
      </c>
      <c r="J18" s="57" t="str">
        <f>VLOOKUP(TableTemp[[#This Row],[Customer code]],MCustomer[],2,FALSE)</f>
        <v>Aida GmbH</v>
      </c>
      <c r="K18" s="57" t="str">
        <f>VLOOKUP(TableTemp[[#This Row],[Article code]],MArticle[],2,FALSE)</f>
        <v>Women type T simple black</v>
      </c>
      <c r="L18" s="57" t="str">
        <f>VLOOKUP(TableTemp[[#This Row],[Company ID]],MCompany[],3,FALSE)</f>
        <v>EUR</v>
      </c>
      <c r="M18" s="57">
        <f>IF(TableTemp[[#This Row],[Currency]]="EUR",ROUND(VLOOKUP(MONTH(TableTemp[[#This Row],[Document Date]]),MExchange[],2,FALSE)*TableTemp[[#This Row],[Sales Local Currency]],2),ROUND(TableTemp[[#This Row],[Sales Local Currency]],2))</f>
        <v>6203.68</v>
      </c>
      <c r="R18" s="46"/>
      <c r="W18" s="46"/>
      <c r="X18" s="42" t="s">
        <v>96</v>
      </c>
      <c r="Y18" s="48">
        <v>648742.6100000001</v>
      </c>
      <c r="Z18" s="49">
        <v>19350</v>
      </c>
      <c r="AC18" s="42" t="s">
        <v>96</v>
      </c>
      <c r="AD18" s="57">
        <v>22</v>
      </c>
      <c r="AE18" s="50">
        <v>8.2687338501291987E-4</v>
      </c>
      <c r="AJ18" s="46"/>
      <c r="AK18" s="52" t="s">
        <v>18</v>
      </c>
      <c r="AL18" s="48">
        <v>2749.36</v>
      </c>
      <c r="AM18" s="48">
        <v>390</v>
      </c>
    </row>
    <row r="19" spans="1:39" x14ac:dyDescent="0.25">
      <c r="A19" t="s">
        <v>30</v>
      </c>
      <c r="B19">
        <v>85442</v>
      </c>
      <c r="C19" s="34">
        <v>43388</v>
      </c>
      <c r="D19">
        <v>8050</v>
      </c>
      <c r="E19">
        <v>120</v>
      </c>
      <c r="G19">
        <v>500</v>
      </c>
      <c r="H19">
        <v>29000</v>
      </c>
      <c r="I19" s="57" t="str">
        <f>VLOOKUP(TableTemp[[#This Row],[Company ID]],MCompany[],2,FALSE)</f>
        <v>Bere Kleid</v>
      </c>
      <c r="J19" s="57" t="str">
        <f>VLOOKUP(TableTemp[[#This Row],[Customer code]],MCustomer[],2,FALSE)</f>
        <v>Aida GmbH</v>
      </c>
      <c r="K19" s="57" t="str">
        <f>VLOOKUP(TableTemp[[#This Row],[Article code]],MArticle[],2,FALSE)</f>
        <v>Women evening dress Cocktail red</v>
      </c>
      <c r="L19" s="57" t="str">
        <f>VLOOKUP(TableTemp[[#This Row],[Company ID]],MCompany[],3,FALSE)</f>
        <v>EUR</v>
      </c>
      <c r="M19" s="57">
        <f>IF(TableTemp[[#This Row],[Currency]]="EUR",ROUND(VLOOKUP(MONTH(TableTemp[[#This Row],[Document Date]]),MExchange[],2,FALSE)*TableTemp[[#This Row],[Sales Local Currency]],2),ROUND(TableTemp[[#This Row],[Sales Local Currency]],2))</f>
        <v>34073.230000000003</v>
      </c>
      <c r="R19" s="46"/>
      <c r="W19" s="46"/>
      <c r="AJ19" s="46"/>
      <c r="AK19" s="52" t="s">
        <v>10</v>
      </c>
      <c r="AL19" s="48">
        <v>2702.36</v>
      </c>
      <c r="AM19" s="48">
        <v>460</v>
      </c>
    </row>
    <row r="20" spans="1:39" x14ac:dyDescent="0.25">
      <c r="A20" t="s">
        <v>30</v>
      </c>
      <c r="B20">
        <v>85442</v>
      </c>
      <c r="C20" s="34">
        <v>43388</v>
      </c>
      <c r="D20">
        <v>8050</v>
      </c>
      <c r="E20">
        <v>119</v>
      </c>
      <c r="F20">
        <v>1</v>
      </c>
      <c r="G20">
        <v>360</v>
      </c>
      <c r="H20">
        <v>22320</v>
      </c>
      <c r="I20" s="57" t="str">
        <f>VLOOKUP(TableTemp[[#This Row],[Company ID]],MCompany[],2,FALSE)</f>
        <v>Bere Kleid</v>
      </c>
      <c r="J20" s="57" t="str">
        <f>VLOOKUP(TableTemp[[#This Row],[Customer code]],MCustomer[],2,FALSE)</f>
        <v>Aida GmbH</v>
      </c>
      <c r="K20" s="57" t="str">
        <f>VLOOKUP(TableTemp[[#This Row],[Article code]],MArticle[],2,FALSE)</f>
        <v>Women evening dress long black</v>
      </c>
      <c r="L20" s="57" t="str">
        <f>VLOOKUP(TableTemp[[#This Row],[Company ID]],MCompany[],3,FALSE)</f>
        <v>EUR</v>
      </c>
      <c r="M20" s="57">
        <f>IF(TableTemp[[#This Row],[Currency]]="EUR",ROUND(VLOOKUP(MONTH(TableTemp[[#This Row],[Document Date]]),MExchange[],2,FALSE)*TableTemp[[#This Row],[Sales Local Currency]],2),ROUND(TableTemp[[#This Row],[Sales Local Currency]],2))</f>
        <v>26224.639999999999</v>
      </c>
      <c r="R20" s="46"/>
      <c r="W20" s="46"/>
      <c r="AJ20" s="46"/>
      <c r="AK20" s="52" t="s">
        <v>19</v>
      </c>
      <c r="AL20" s="48">
        <v>1832.9</v>
      </c>
      <c r="AM20" s="48">
        <v>260</v>
      </c>
    </row>
    <row r="21" spans="1:39" x14ac:dyDescent="0.25">
      <c r="A21" t="s">
        <v>30</v>
      </c>
      <c r="B21">
        <v>85442</v>
      </c>
      <c r="C21" s="34">
        <v>43388</v>
      </c>
      <c r="D21">
        <v>8050</v>
      </c>
      <c r="E21">
        <v>115</v>
      </c>
      <c r="G21">
        <v>810</v>
      </c>
      <c r="H21">
        <v>4860</v>
      </c>
      <c r="I21" s="57" t="str">
        <f>VLOOKUP(TableTemp[[#This Row],[Company ID]],MCompany[],2,FALSE)</f>
        <v>Bere Kleid</v>
      </c>
      <c r="J21" s="57" t="str">
        <f>VLOOKUP(TableTemp[[#This Row],[Customer code]],MCustomer[],2,FALSE)</f>
        <v>Aida GmbH</v>
      </c>
      <c r="K21" s="57" t="str">
        <f>VLOOKUP(TableTemp[[#This Row],[Article code]],MArticle[],2,FALSE)</f>
        <v>Unisex tank top black</v>
      </c>
      <c r="L21" s="57" t="str">
        <f>VLOOKUP(TableTemp[[#This Row],[Company ID]],MCompany[],3,FALSE)</f>
        <v>EUR</v>
      </c>
      <c r="M21" s="57">
        <f>IF(TableTemp[[#This Row],[Currency]]="EUR",ROUND(VLOOKUP(MONTH(TableTemp[[#This Row],[Document Date]]),MExchange[],2,FALSE)*TableTemp[[#This Row],[Sales Local Currency]],2),ROUND(TableTemp[[#This Row],[Sales Local Currency]],2))</f>
        <v>5710.2</v>
      </c>
      <c r="R21" s="46"/>
      <c r="W21" s="46"/>
      <c r="AJ21" s="46"/>
      <c r="AK21" s="47" t="s">
        <v>107</v>
      </c>
      <c r="AL21" s="48">
        <v>36846.080000000002</v>
      </c>
      <c r="AM21" s="48">
        <v>1910</v>
      </c>
    </row>
    <row r="22" spans="1:39" x14ac:dyDescent="0.25">
      <c r="A22" t="s">
        <v>30</v>
      </c>
      <c r="B22">
        <v>85442</v>
      </c>
      <c r="C22" s="34">
        <v>43388</v>
      </c>
      <c r="D22">
        <v>8050</v>
      </c>
      <c r="E22">
        <v>108</v>
      </c>
      <c r="G22">
        <v>800</v>
      </c>
      <c r="H22">
        <v>22400</v>
      </c>
      <c r="I22" s="57" t="str">
        <f>VLOOKUP(TableTemp[[#This Row],[Company ID]],MCompany[],2,FALSE)</f>
        <v>Bere Kleid</v>
      </c>
      <c r="J22" s="57" t="str">
        <f>VLOOKUP(TableTemp[[#This Row],[Customer code]],MCustomer[],2,FALSE)</f>
        <v>Aida GmbH</v>
      </c>
      <c r="K22" s="57" t="str">
        <f>VLOOKUP(TableTemp[[#This Row],[Article code]],MArticle[],2,FALSE)</f>
        <v>Laptop bag black</v>
      </c>
      <c r="L22" s="57" t="str">
        <f>VLOOKUP(TableTemp[[#This Row],[Company ID]],MCompany[],3,FALSE)</f>
        <v>EUR</v>
      </c>
      <c r="M22" s="57">
        <f>IF(TableTemp[[#This Row],[Currency]]="EUR",ROUND(VLOOKUP(MONTH(TableTemp[[#This Row],[Document Date]]),MExchange[],2,FALSE)*TableTemp[[#This Row],[Sales Local Currency]],2),ROUND(TableTemp[[#This Row],[Sales Local Currency]],2))</f>
        <v>26318.63</v>
      </c>
      <c r="R22" s="46"/>
      <c r="S22" s="41" t="s">
        <v>95</v>
      </c>
      <c r="T22" t="s">
        <v>112</v>
      </c>
      <c r="W22" s="46"/>
      <c r="AJ22" s="46"/>
      <c r="AK22" s="47" t="s">
        <v>59</v>
      </c>
      <c r="AL22" s="48"/>
      <c r="AM22" s="48"/>
    </row>
    <row r="23" spans="1:39" x14ac:dyDescent="0.25">
      <c r="A23" t="s">
        <v>30</v>
      </c>
      <c r="B23">
        <v>88588</v>
      </c>
      <c r="C23" s="34">
        <v>43388</v>
      </c>
      <c r="D23">
        <v>8040</v>
      </c>
      <c r="E23">
        <v>120</v>
      </c>
      <c r="G23">
        <v>470</v>
      </c>
      <c r="H23">
        <v>27260</v>
      </c>
      <c r="I23" s="57" t="str">
        <f>VLOOKUP(TableTemp[[#This Row],[Company ID]],MCompany[],2,FALSE)</f>
        <v>Bere Kleid</v>
      </c>
      <c r="J23" s="57" t="str">
        <f>VLOOKUP(TableTemp[[#This Row],[Customer code]],MCustomer[],2,FALSE)</f>
        <v>Werner Strauss</v>
      </c>
      <c r="K23" s="57" t="str">
        <f>VLOOKUP(TableTemp[[#This Row],[Article code]],MArticle[],2,FALSE)</f>
        <v>Women evening dress Cocktail red</v>
      </c>
      <c r="L23" s="57" t="str">
        <f>VLOOKUP(TableTemp[[#This Row],[Company ID]],MCompany[],3,FALSE)</f>
        <v>EUR</v>
      </c>
      <c r="M23" s="57">
        <f>IF(TableTemp[[#This Row],[Currency]]="EUR",ROUND(VLOOKUP(MONTH(TableTemp[[#This Row],[Document Date]]),MExchange[],2,FALSE)*TableTemp[[#This Row],[Sales Local Currency]],2),ROUND(TableTemp[[#This Row],[Sales Local Currency]],2))</f>
        <v>32028.84</v>
      </c>
      <c r="R23" s="46"/>
      <c r="S23" s="42" t="s">
        <v>59</v>
      </c>
      <c r="T23" s="57">
        <v>378530.11</v>
      </c>
      <c r="W23" s="46"/>
      <c r="AJ23" s="46"/>
      <c r="AK23" s="52" t="s">
        <v>13</v>
      </c>
      <c r="AL23" s="48">
        <v>119138.81</v>
      </c>
      <c r="AM23" s="48">
        <v>1690</v>
      </c>
    </row>
    <row r="24" spans="1:39" x14ac:dyDescent="0.25">
      <c r="A24" t="s">
        <v>30</v>
      </c>
      <c r="B24">
        <v>88588</v>
      </c>
      <c r="C24" s="34">
        <v>43388</v>
      </c>
      <c r="D24">
        <v>8040</v>
      </c>
      <c r="E24">
        <v>119</v>
      </c>
      <c r="G24">
        <v>860</v>
      </c>
      <c r="H24">
        <v>53320</v>
      </c>
      <c r="I24" s="57" t="str">
        <f>VLOOKUP(TableTemp[[#This Row],[Company ID]],MCompany[],2,FALSE)</f>
        <v>Bere Kleid</v>
      </c>
      <c r="J24" s="57" t="str">
        <f>VLOOKUP(TableTemp[[#This Row],[Customer code]],MCustomer[],2,FALSE)</f>
        <v>Werner Strauss</v>
      </c>
      <c r="K24" s="57" t="str">
        <f>VLOOKUP(TableTemp[[#This Row],[Article code]],MArticle[],2,FALSE)</f>
        <v>Women evening dress long black</v>
      </c>
      <c r="L24" s="57" t="str">
        <f>VLOOKUP(TableTemp[[#This Row],[Company ID]],MCompany[],3,FALSE)</f>
        <v>EUR</v>
      </c>
      <c r="M24" s="57">
        <f>IF(TableTemp[[#This Row],[Currency]]="EUR",ROUND(VLOOKUP(MONTH(TableTemp[[#This Row],[Document Date]]),MExchange[],2,FALSE)*TableTemp[[#This Row],[Sales Local Currency]],2),ROUND(TableTemp[[#This Row],[Sales Local Currency]],2))</f>
        <v>62647.75</v>
      </c>
      <c r="R24" s="46"/>
      <c r="S24" s="42" t="s">
        <v>60</v>
      </c>
      <c r="T24" s="57">
        <v>174854.43999999997</v>
      </c>
      <c r="W24" s="46"/>
      <c r="AJ24" s="46"/>
      <c r="AK24" s="52" t="s">
        <v>22</v>
      </c>
      <c r="AL24" s="48">
        <v>108540.87</v>
      </c>
      <c r="AM24" s="48">
        <v>1490</v>
      </c>
    </row>
    <row r="25" spans="1:39" x14ac:dyDescent="0.25">
      <c r="A25" t="s">
        <v>30</v>
      </c>
      <c r="B25">
        <v>88588</v>
      </c>
      <c r="C25" s="34">
        <v>43388</v>
      </c>
      <c r="D25">
        <v>8040</v>
      </c>
      <c r="E25">
        <v>110</v>
      </c>
      <c r="G25">
        <v>180</v>
      </c>
      <c r="H25">
        <v>10800</v>
      </c>
      <c r="I25" s="57" t="str">
        <f>VLOOKUP(TableTemp[[#This Row],[Company ID]],MCompany[],2,FALSE)</f>
        <v>Bere Kleid</v>
      </c>
      <c r="J25" s="57" t="str">
        <f>VLOOKUP(TableTemp[[#This Row],[Customer code]],MCustomer[],2,FALSE)</f>
        <v>Werner Strauss</v>
      </c>
      <c r="K25" s="57" t="str">
        <f>VLOOKUP(TableTemp[[#This Row],[Article code]],MArticle[],2,FALSE)</f>
        <v>Smartphone case diamond</v>
      </c>
      <c r="L25" s="57" t="str">
        <f>VLOOKUP(TableTemp[[#This Row],[Company ID]],MCompany[],3,FALSE)</f>
        <v>EUR</v>
      </c>
      <c r="M25" s="57">
        <f>IF(TableTemp[[#This Row],[Currency]]="EUR",ROUND(VLOOKUP(MONTH(TableTemp[[#This Row],[Document Date]]),MExchange[],2,FALSE)*TableTemp[[#This Row],[Sales Local Currency]],2),ROUND(TableTemp[[#This Row],[Sales Local Currency]],2))</f>
        <v>12689.34</v>
      </c>
      <c r="R25" s="46"/>
      <c r="S25" s="42" t="s">
        <v>61</v>
      </c>
      <c r="T25" s="57">
        <v>58511.98</v>
      </c>
      <c r="W25" s="46"/>
      <c r="AJ25" s="46"/>
      <c r="AK25" s="52" t="s">
        <v>23</v>
      </c>
      <c r="AL25" s="48">
        <v>62694.75</v>
      </c>
      <c r="AM25" s="48">
        <v>920</v>
      </c>
    </row>
    <row r="26" spans="1:39" x14ac:dyDescent="0.25">
      <c r="A26" t="s">
        <v>30</v>
      </c>
      <c r="B26">
        <v>88588</v>
      </c>
      <c r="C26" s="34">
        <v>43388</v>
      </c>
      <c r="D26">
        <v>8040</v>
      </c>
      <c r="E26">
        <v>111</v>
      </c>
      <c r="G26">
        <v>750</v>
      </c>
      <c r="H26">
        <v>15000</v>
      </c>
      <c r="I26" s="57" t="str">
        <f>VLOOKUP(TableTemp[[#This Row],[Company ID]],MCompany[],2,FALSE)</f>
        <v>Bere Kleid</v>
      </c>
      <c r="J26" s="57" t="str">
        <f>VLOOKUP(TableTemp[[#This Row],[Customer code]],MCustomer[],2,FALSE)</f>
        <v>Werner Strauss</v>
      </c>
      <c r="K26" s="57" t="str">
        <f>VLOOKUP(TableTemp[[#This Row],[Article code]],MArticle[],2,FALSE)</f>
        <v>Smartphone case simple</v>
      </c>
      <c r="L26" s="57" t="str">
        <f>VLOOKUP(TableTemp[[#This Row],[Company ID]],MCompany[],3,FALSE)</f>
        <v>EUR</v>
      </c>
      <c r="M26" s="57">
        <f>IF(TableTemp[[#This Row],[Currency]]="EUR",ROUND(VLOOKUP(MONTH(TableTemp[[#This Row],[Document Date]]),MExchange[],2,FALSE)*TableTemp[[#This Row],[Sales Local Currency]],2),ROUND(TableTemp[[#This Row],[Sales Local Currency]],2))</f>
        <v>17624.09</v>
      </c>
      <c r="R26" s="46"/>
      <c r="S26" s="42" t="s">
        <v>48</v>
      </c>
      <c r="T26" s="57">
        <v>36846.080000000002</v>
      </c>
      <c r="W26" s="46"/>
      <c r="AJ26" s="46"/>
      <c r="AK26" s="52" t="s">
        <v>14</v>
      </c>
      <c r="AL26" s="48">
        <v>31488.370000000003</v>
      </c>
      <c r="AM26" s="48">
        <v>1340</v>
      </c>
    </row>
    <row r="27" spans="1:39" x14ac:dyDescent="0.25">
      <c r="A27" t="s">
        <v>30</v>
      </c>
      <c r="B27">
        <v>88588</v>
      </c>
      <c r="C27" s="34">
        <v>43388</v>
      </c>
      <c r="D27">
        <v>8040</v>
      </c>
      <c r="E27">
        <v>109</v>
      </c>
      <c r="G27">
        <v>560</v>
      </c>
      <c r="H27">
        <v>15680</v>
      </c>
      <c r="I27" s="57" t="str">
        <f>VLOOKUP(TableTemp[[#This Row],[Company ID]],MCompany[],2,FALSE)</f>
        <v>Bere Kleid</v>
      </c>
      <c r="J27" s="57" t="str">
        <f>VLOOKUP(TableTemp[[#This Row],[Customer code]],MCustomer[],2,FALSE)</f>
        <v>Werner Strauss</v>
      </c>
      <c r="K27" s="57" t="str">
        <f>VLOOKUP(TableTemp[[#This Row],[Article code]],MArticle[],2,FALSE)</f>
        <v>Laptop bag red</v>
      </c>
      <c r="L27" s="57" t="str">
        <f>VLOOKUP(TableTemp[[#This Row],[Company ID]],MCompany[],3,FALSE)</f>
        <v>EUR</v>
      </c>
      <c r="M27" s="57">
        <f>IF(TableTemp[[#This Row],[Currency]]="EUR",ROUND(VLOOKUP(MONTH(TableTemp[[#This Row],[Document Date]]),MExchange[],2,FALSE)*TableTemp[[#This Row],[Sales Local Currency]],2),ROUND(TableTemp[[#This Row],[Sales Local Currency]],2))</f>
        <v>18423.04</v>
      </c>
      <c r="R27" s="46"/>
      <c r="S27" s="42" t="s">
        <v>96</v>
      </c>
      <c r="T27" s="57">
        <v>648742.61</v>
      </c>
      <c r="W27" s="46"/>
      <c r="AJ27" s="46"/>
      <c r="AK27" s="52" t="s">
        <v>12</v>
      </c>
      <c r="AL27" s="48">
        <v>26976.6</v>
      </c>
      <c r="AM27" s="48">
        <v>820</v>
      </c>
    </row>
    <row r="28" spans="1:39" x14ac:dyDescent="0.25">
      <c r="A28" t="s">
        <v>30</v>
      </c>
      <c r="B28">
        <v>88588</v>
      </c>
      <c r="C28" s="34">
        <v>43388</v>
      </c>
      <c r="D28">
        <v>8040</v>
      </c>
      <c r="E28">
        <v>105</v>
      </c>
      <c r="G28">
        <v>130</v>
      </c>
      <c r="H28">
        <v>1300</v>
      </c>
      <c r="I28" s="57" t="str">
        <f>VLOOKUP(TableTemp[[#This Row],[Company ID]],MCompany[],2,FALSE)</f>
        <v>Bere Kleid</v>
      </c>
      <c r="J28" s="57" t="str">
        <f>VLOOKUP(TableTemp[[#This Row],[Customer code]],MCustomer[],2,FALSE)</f>
        <v>Werner Strauss</v>
      </c>
      <c r="K28" s="57" t="str">
        <f>VLOOKUP(TableTemp[[#This Row],[Article code]],MArticle[],2,FALSE)</f>
        <v>Women crop top black</v>
      </c>
      <c r="L28" s="57" t="str">
        <f>VLOOKUP(TableTemp[[#This Row],[Company ID]],MCompany[],3,FALSE)</f>
        <v>EUR</v>
      </c>
      <c r="M28" s="57">
        <f>IF(TableTemp[[#This Row],[Currency]]="EUR",ROUND(VLOOKUP(MONTH(TableTemp[[#This Row],[Document Date]]),MExchange[],2,FALSE)*TableTemp[[#This Row],[Sales Local Currency]],2),ROUND(TableTemp[[#This Row],[Sales Local Currency]],2))</f>
        <v>1527.42</v>
      </c>
      <c r="R28" s="46"/>
      <c r="W28" s="46"/>
      <c r="AJ28" s="46"/>
      <c r="AK28" s="52" t="s">
        <v>9</v>
      </c>
      <c r="AL28" s="48">
        <v>12266.36</v>
      </c>
      <c r="AM28" s="48">
        <v>870</v>
      </c>
    </row>
    <row r="29" spans="1:39" x14ac:dyDescent="0.25">
      <c r="A29" t="s">
        <v>30</v>
      </c>
      <c r="B29">
        <v>88588</v>
      </c>
      <c r="C29" s="34">
        <v>43388</v>
      </c>
      <c r="D29">
        <v>8040</v>
      </c>
      <c r="E29">
        <v>103</v>
      </c>
      <c r="G29">
        <v>110</v>
      </c>
      <c r="H29">
        <v>1320</v>
      </c>
      <c r="I29" s="57" t="str">
        <f>VLOOKUP(TableTemp[[#This Row],[Company ID]],MCompany[],2,FALSE)</f>
        <v>Bere Kleid</v>
      </c>
      <c r="J29" s="57" t="str">
        <f>VLOOKUP(TableTemp[[#This Row],[Customer code]],MCustomer[],2,FALSE)</f>
        <v>Werner Strauss</v>
      </c>
      <c r="K29" s="57" t="str">
        <f>VLOOKUP(TableTemp[[#This Row],[Article code]],MArticle[],2,FALSE)</f>
        <v>Women type T simple white</v>
      </c>
      <c r="L29" s="57" t="str">
        <f>VLOOKUP(TableTemp[[#This Row],[Company ID]],MCompany[],3,FALSE)</f>
        <v>EUR</v>
      </c>
      <c r="M29" s="57">
        <f>IF(TableTemp[[#This Row],[Currency]]="EUR",ROUND(VLOOKUP(MONTH(TableTemp[[#This Row],[Document Date]]),MExchange[],2,FALSE)*TableTemp[[#This Row],[Sales Local Currency]],2),ROUND(TableTemp[[#This Row],[Sales Local Currency]],2))</f>
        <v>1550.92</v>
      </c>
      <c r="R29" s="46"/>
      <c r="W29" s="46"/>
      <c r="AJ29" s="46"/>
      <c r="AK29" s="52" t="s">
        <v>10</v>
      </c>
      <c r="AL29" s="48">
        <v>8988.2900000000009</v>
      </c>
      <c r="AM29" s="48">
        <v>1530</v>
      </c>
    </row>
    <row r="30" spans="1:39" x14ac:dyDescent="0.25">
      <c r="A30" t="s">
        <v>30</v>
      </c>
      <c r="B30">
        <v>88544</v>
      </c>
      <c r="C30" s="34">
        <v>43395</v>
      </c>
      <c r="D30">
        <v>8040</v>
      </c>
      <c r="E30">
        <v>107</v>
      </c>
      <c r="G30">
        <v>770</v>
      </c>
      <c r="H30">
        <v>3850</v>
      </c>
      <c r="I30" s="57" t="str">
        <f>VLOOKUP(TableTemp[[#This Row],[Company ID]],MCompany[],2,FALSE)</f>
        <v>Bere Kleid</v>
      </c>
      <c r="J30" s="57" t="str">
        <f>VLOOKUP(TableTemp[[#This Row],[Customer code]],MCustomer[],2,FALSE)</f>
        <v>Werner Strauss</v>
      </c>
      <c r="K30" s="57" t="str">
        <f>VLOOKUP(TableTemp[[#This Row],[Article code]],MArticle[],2,FALSE)</f>
        <v>Women basics</v>
      </c>
      <c r="L30" s="57" t="str">
        <f>VLOOKUP(TableTemp[[#This Row],[Company ID]],MCompany[],3,FALSE)</f>
        <v>EUR</v>
      </c>
      <c r="M30" s="57">
        <f>IF(TableTemp[[#This Row],[Currency]]="EUR",ROUND(VLOOKUP(MONTH(TableTemp[[#This Row],[Document Date]]),MExchange[],2,FALSE)*TableTemp[[#This Row],[Sales Local Currency]],2),ROUND(TableTemp[[#This Row],[Sales Local Currency]],2))</f>
        <v>4523.5200000000004</v>
      </c>
      <c r="R30" s="46"/>
      <c r="W30" s="46"/>
      <c r="AJ30" s="46"/>
      <c r="AK30" s="52" t="s">
        <v>19</v>
      </c>
      <c r="AL30" s="48">
        <v>5357.72</v>
      </c>
      <c r="AM30" s="48">
        <v>760</v>
      </c>
    </row>
    <row r="31" spans="1:39" x14ac:dyDescent="0.25">
      <c r="A31" t="s">
        <v>30</v>
      </c>
      <c r="B31">
        <v>88544</v>
      </c>
      <c r="C31" s="34">
        <v>43395</v>
      </c>
      <c r="D31">
        <v>8040</v>
      </c>
      <c r="E31">
        <v>120</v>
      </c>
      <c r="G31">
        <v>300</v>
      </c>
      <c r="H31">
        <v>17400</v>
      </c>
      <c r="I31" s="57" t="str">
        <f>VLOOKUP(TableTemp[[#This Row],[Company ID]],MCompany[],2,FALSE)</f>
        <v>Bere Kleid</v>
      </c>
      <c r="J31" s="57" t="str">
        <f>VLOOKUP(TableTemp[[#This Row],[Customer code]],MCustomer[],2,FALSE)</f>
        <v>Werner Strauss</v>
      </c>
      <c r="K31" s="57" t="str">
        <f>VLOOKUP(TableTemp[[#This Row],[Article code]],MArticle[],2,FALSE)</f>
        <v>Women evening dress Cocktail red</v>
      </c>
      <c r="L31" s="57" t="str">
        <f>VLOOKUP(TableTemp[[#This Row],[Company ID]],MCompany[],3,FALSE)</f>
        <v>EUR</v>
      </c>
      <c r="M31" s="57">
        <f>IF(TableTemp[[#This Row],[Currency]]="EUR",ROUND(VLOOKUP(MONTH(TableTemp[[#This Row],[Document Date]]),MExchange[],2,FALSE)*TableTemp[[#This Row],[Sales Local Currency]],2),ROUND(TableTemp[[#This Row],[Sales Local Currency]],2))</f>
        <v>20443.939999999999</v>
      </c>
      <c r="R31" s="46"/>
      <c r="W31" s="46"/>
      <c r="AJ31" s="46"/>
      <c r="AK31" s="52" t="s">
        <v>8</v>
      </c>
      <c r="AL31" s="48">
        <v>1550.92</v>
      </c>
      <c r="AM31" s="48">
        <v>110</v>
      </c>
    </row>
    <row r="32" spans="1:39" x14ac:dyDescent="0.25">
      <c r="A32" t="s">
        <v>30</v>
      </c>
      <c r="B32">
        <v>88666</v>
      </c>
      <c r="C32" s="34">
        <v>43399</v>
      </c>
      <c r="D32">
        <v>8030</v>
      </c>
      <c r="E32">
        <v>119</v>
      </c>
      <c r="G32">
        <v>330</v>
      </c>
      <c r="H32">
        <v>20460</v>
      </c>
      <c r="I32" s="57" t="str">
        <f>VLOOKUP(TableTemp[[#This Row],[Company ID]],MCompany[],2,FALSE)</f>
        <v>Bere Kleid</v>
      </c>
      <c r="J32" s="57" t="str">
        <f>VLOOKUP(TableTemp[[#This Row],[Customer code]],MCustomer[],2,FALSE)</f>
        <v>Edson</v>
      </c>
      <c r="K32" s="57" t="str">
        <f>VLOOKUP(TableTemp[[#This Row],[Article code]],MArticle[],2,FALSE)</f>
        <v>Women evening dress long black</v>
      </c>
      <c r="L32" s="57" t="str">
        <f>VLOOKUP(TableTemp[[#This Row],[Company ID]],MCompany[],3,FALSE)</f>
        <v>EUR</v>
      </c>
      <c r="M32" s="57">
        <f>IF(TableTemp[[#This Row],[Currency]]="EUR",ROUND(VLOOKUP(MONTH(TableTemp[[#This Row],[Document Date]]),MExchange[],2,FALSE)*TableTemp[[#This Row],[Sales Local Currency]],2),ROUND(TableTemp[[#This Row],[Sales Local Currency]],2))</f>
        <v>24039.25</v>
      </c>
      <c r="R32" s="46"/>
      <c r="W32" s="46"/>
      <c r="AJ32" s="46"/>
      <c r="AK32" s="52" t="s">
        <v>4</v>
      </c>
      <c r="AL32" s="48">
        <v>1527.42</v>
      </c>
      <c r="AM32" s="48">
        <v>130</v>
      </c>
    </row>
    <row r="33" spans="1:39" x14ac:dyDescent="0.25">
      <c r="A33" t="s">
        <v>30</v>
      </c>
      <c r="B33">
        <v>88666</v>
      </c>
      <c r="C33" s="34">
        <v>43399</v>
      </c>
      <c r="D33">
        <v>8030</v>
      </c>
      <c r="E33">
        <v>107</v>
      </c>
      <c r="G33">
        <v>460</v>
      </c>
      <c r="H33">
        <v>2300</v>
      </c>
      <c r="I33" s="57" t="str">
        <f>VLOOKUP(TableTemp[[#This Row],[Company ID]],MCompany[],2,FALSE)</f>
        <v>Bere Kleid</v>
      </c>
      <c r="J33" s="57" t="str">
        <f>VLOOKUP(TableTemp[[#This Row],[Customer code]],MCustomer[],2,FALSE)</f>
        <v>Edson</v>
      </c>
      <c r="K33" s="57" t="str">
        <f>VLOOKUP(TableTemp[[#This Row],[Article code]],MArticle[],2,FALSE)</f>
        <v>Women basics</v>
      </c>
      <c r="L33" s="57" t="str">
        <f>VLOOKUP(TableTemp[[#This Row],[Company ID]],MCompany[],3,FALSE)</f>
        <v>EUR</v>
      </c>
      <c r="M33" s="57">
        <f>IF(TableTemp[[#This Row],[Currency]]="EUR",ROUND(VLOOKUP(MONTH(TableTemp[[#This Row],[Document Date]]),MExchange[],2,FALSE)*TableTemp[[#This Row],[Sales Local Currency]],2),ROUND(TableTemp[[#This Row],[Sales Local Currency]],2))</f>
        <v>2702.36</v>
      </c>
      <c r="R33" s="46"/>
      <c r="W33" s="46"/>
      <c r="AJ33" s="46"/>
      <c r="AK33" s="47" t="s">
        <v>108</v>
      </c>
      <c r="AL33" s="48">
        <v>378530.11</v>
      </c>
      <c r="AM33" s="48">
        <v>9660</v>
      </c>
    </row>
    <row r="34" spans="1:39" x14ac:dyDescent="0.25">
      <c r="A34" t="s">
        <v>30</v>
      </c>
      <c r="B34">
        <v>88666</v>
      </c>
      <c r="C34" s="34">
        <v>43399</v>
      </c>
      <c r="D34">
        <v>8030</v>
      </c>
      <c r="E34">
        <v>105</v>
      </c>
      <c r="F34">
        <v>1</v>
      </c>
      <c r="G34">
        <v>470</v>
      </c>
      <c r="H34">
        <v>4700</v>
      </c>
      <c r="I34" s="57" t="str">
        <f>VLOOKUP(TableTemp[[#This Row],[Company ID]],MCompany[],2,FALSE)</f>
        <v>Bere Kleid</v>
      </c>
      <c r="J34" s="57" t="str">
        <f>VLOOKUP(TableTemp[[#This Row],[Customer code]],MCustomer[],2,FALSE)</f>
        <v>Edson</v>
      </c>
      <c r="K34" s="57" t="str">
        <f>VLOOKUP(TableTemp[[#This Row],[Article code]],MArticle[],2,FALSE)</f>
        <v>Women crop top black</v>
      </c>
      <c r="L34" s="57" t="str">
        <f>VLOOKUP(TableTemp[[#This Row],[Company ID]],MCompany[],3,FALSE)</f>
        <v>EUR</v>
      </c>
      <c r="M34" s="57">
        <f>IF(TableTemp[[#This Row],[Currency]]="EUR",ROUND(VLOOKUP(MONTH(TableTemp[[#This Row],[Document Date]]),MExchange[],2,FALSE)*TableTemp[[#This Row],[Sales Local Currency]],2),ROUND(TableTemp[[#This Row],[Sales Local Currency]],2))</f>
        <v>5522.21</v>
      </c>
      <c r="R34" s="46"/>
      <c r="W34" s="46"/>
      <c r="AJ34" s="46"/>
      <c r="AK34" s="42" t="s">
        <v>109</v>
      </c>
      <c r="AL34" s="48">
        <v>544079.02</v>
      </c>
      <c r="AM34" s="48">
        <v>16740</v>
      </c>
    </row>
    <row r="35" spans="1:39" x14ac:dyDescent="0.25">
      <c r="A35" t="s">
        <v>30</v>
      </c>
      <c r="B35">
        <v>88666</v>
      </c>
      <c r="C35" s="34">
        <v>43399</v>
      </c>
      <c r="D35">
        <v>8030</v>
      </c>
      <c r="E35">
        <v>115</v>
      </c>
      <c r="G35">
        <v>390</v>
      </c>
      <c r="H35">
        <v>2340</v>
      </c>
      <c r="I35" s="57" t="str">
        <f>VLOOKUP(TableTemp[[#This Row],[Company ID]],MCompany[],2,FALSE)</f>
        <v>Bere Kleid</v>
      </c>
      <c r="J35" s="57" t="str">
        <f>VLOOKUP(TableTemp[[#This Row],[Customer code]],MCustomer[],2,FALSE)</f>
        <v>Edson</v>
      </c>
      <c r="K35" s="57" t="str">
        <f>VLOOKUP(TableTemp[[#This Row],[Article code]],MArticle[],2,FALSE)</f>
        <v>Unisex tank top black</v>
      </c>
      <c r="L35" s="57" t="str">
        <f>VLOOKUP(TableTemp[[#This Row],[Company ID]],MCompany[],3,FALSE)</f>
        <v>EUR</v>
      </c>
      <c r="M35" s="57">
        <f>IF(TableTemp[[#This Row],[Currency]]="EUR",ROUND(VLOOKUP(MONTH(TableTemp[[#This Row],[Document Date]]),MExchange[],2,FALSE)*TableTemp[[#This Row],[Sales Local Currency]],2),ROUND(TableTemp[[#This Row],[Sales Local Currency]],2))</f>
        <v>2749.36</v>
      </c>
      <c r="R35" s="46"/>
      <c r="W35" s="46"/>
      <c r="AJ35" s="46"/>
      <c r="AK35" s="42" t="s">
        <v>33</v>
      </c>
      <c r="AL35" s="48"/>
      <c r="AM35" s="48"/>
    </row>
    <row r="36" spans="1:39" x14ac:dyDescent="0.25">
      <c r="A36" t="s">
        <v>30</v>
      </c>
      <c r="B36">
        <v>88666</v>
      </c>
      <c r="C36" s="34">
        <v>43399</v>
      </c>
      <c r="D36">
        <v>8030</v>
      </c>
      <c r="E36">
        <v>116</v>
      </c>
      <c r="G36">
        <v>260</v>
      </c>
      <c r="H36">
        <v>1560</v>
      </c>
      <c r="I36" s="57" t="str">
        <f>VLOOKUP(TableTemp[[#This Row],[Company ID]],MCompany[],2,FALSE)</f>
        <v>Bere Kleid</v>
      </c>
      <c r="J36" s="57" t="str">
        <f>VLOOKUP(TableTemp[[#This Row],[Customer code]],MCustomer[],2,FALSE)</f>
        <v>Edson</v>
      </c>
      <c r="K36" s="57" t="str">
        <f>VLOOKUP(TableTemp[[#This Row],[Article code]],MArticle[],2,FALSE)</f>
        <v>Unisex tank top white</v>
      </c>
      <c r="L36" s="57" t="str">
        <f>VLOOKUP(TableTemp[[#This Row],[Company ID]],MCompany[],3,FALSE)</f>
        <v>EUR</v>
      </c>
      <c r="M36" s="57">
        <f>IF(TableTemp[[#This Row],[Currency]]="EUR",ROUND(VLOOKUP(MONTH(TableTemp[[#This Row],[Document Date]]),MExchange[],2,FALSE)*TableTemp[[#This Row],[Sales Local Currency]],2),ROUND(TableTemp[[#This Row],[Sales Local Currency]],2))</f>
        <v>1832.9</v>
      </c>
      <c r="R36" s="46"/>
      <c r="W36" s="46"/>
      <c r="AJ36" s="46"/>
      <c r="AK36" s="47" t="s">
        <v>60</v>
      </c>
      <c r="AL36" s="48"/>
      <c r="AM36" s="48"/>
    </row>
    <row r="37" spans="1:39" x14ac:dyDescent="0.25">
      <c r="A37" t="s">
        <v>31</v>
      </c>
      <c r="B37">
        <v>44030</v>
      </c>
      <c r="C37" s="34">
        <v>43377</v>
      </c>
      <c r="D37">
        <v>8060</v>
      </c>
      <c r="E37">
        <v>108</v>
      </c>
      <c r="F37" t="s">
        <v>89</v>
      </c>
      <c r="G37">
        <v>60</v>
      </c>
      <c r="H37">
        <v>1680</v>
      </c>
      <c r="I37" s="57" t="str">
        <f>VLOOKUP(TableTemp[[#This Row],[Company ID]],MCompany[],2,FALSE)</f>
        <v>Lucas Basics</v>
      </c>
      <c r="J37" s="57" t="str">
        <f>VLOOKUP(TableTemp[[#This Row],[Customer code]],MCustomer[],2,FALSE)</f>
        <v>Liebher</v>
      </c>
      <c r="K37" s="57" t="str">
        <f>VLOOKUP(TableTemp[[#This Row],[Article code]],MArticle[],2,FALSE)</f>
        <v>Laptop bag black</v>
      </c>
      <c r="L37" s="57" t="str">
        <f>VLOOKUP(TableTemp[[#This Row],[Company ID]],MCompany[],3,FALSE)</f>
        <v>EUR</v>
      </c>
      <c r="M37" s="57">
        <f>IF(TableTemp[[#This Row],[Currency]]="EUR",ROUND(VLOOKUP(MONTH(TableTemp[[#This Row],[Document Date]]),MExchange[],2,FALSE)*TableTemp[[#This Row],[Sales Local Currency]],2),ROUND(TableTemp[[#This Row],[Sales Local Currency]],2))</f>
        <v>1973.9</v>
      </c>
      <c r="R37" s="46"/>
      <c r="W37" s="46"/>
      <c r="AJ37" s="46"/>
      <c r="AK37" s="52" t="s">
        <v>13</v>
      </c>
      <c r="AL37" s="48">
        <v>16214.16</v>
      </c>
      <c r="AM37" s="48">
        <v>230</v>
      </c>
    </row>
    <row r="38" spans="1:39" x14ac:dyDescent="0.25">
      <c r="A38" t="s">
        <v>31</v>
      </c>
      <c r="B38">
        <v>44030</v>
      </c>
      <c r="C38" s="34">
        <v>43377</v>
      </c>
      <c r="D38">
        <v>8060</v>
      </c>
      <c r="E38">
        <v>109</v>
      </c>
      <c r="F38">
        <v>1</v>
      </c>
      <c r="G38">
        <v>60</v>
      </c>
      <c r="H38">
        <v>1680</v>
      </c>
      <c r="I38" s="57" t="str">
        <f>VLOOKUP(TableTemp[[#This Row],[Company ID]],MCompany[],2,FALSE)</f>
        <v>Lucas Basics</v>
      </c>
      <c r="J38" s="57" t="str">
        <f>VLOOKUP(TableTemp[[#This Row],[Customer code]],MCustomer[],2,FALSE)</f>
        <v>Liebher</v>
      </c>
      <c r="K38" s="57" t="str">
        <f>VLOOKUP(TableTemp[[#This Row],[Article code]],MArticle[],2,FALSE)</f>
        <v>Laptop bag red</v>
      </c>
      <c r="L38" s="57" t="str">
        <f>VLOOKUP(TableTemp[[#This Row],[Company ID]],MCompany[],3,FALSE)</f>
        <v>EUR</v>
      </c>
      <c r="M38" s="57">
        <f>IF(TableTemp[[#This Row],[Currency]]="EUR",ROUND(VLOOKUP(MONTH(TableTemp[[#This Row],[Document Date]]),MExchange[],2,FALSE)*TableTemp[[#This Row],[Sales Local Currency]],2),ROUND(TableTemp[[#This Row],[Sales Local Currency]],2))</f>
        <v>1973.9</v>
      </c>
      <c r="R38" s="46"/>
      <c r="W38" s="46"/>
      <c r="AJ38" s="46"/>
      <c r="AK38" s="52" t="s">
        <v>11</v>
      </c>
      <c r="AL38" s="48">
        <v>11843.38</v>
      </c>
      <c r="AM38" s="48">
        <v>360</v>
      </c>
    </row>
    <row r="39" spans="1:39" x14ac:dyDescent="0.25">
      <c r="A39" t="s">
        <v>31</v>
      </c>
      <c r="B39">
        <v>44032</v>
      </c>
      <c r="C39" s="34">
        <v>43380</v>
      </c>
      <c r="D39">
        <v>8060</v>
      </c>
      <c r="E39">
        <v>108</v>
      </c>
      <c r="F39" t="s">
        <v>89</v>
      </c>
      <c r="G39">
        <v>60</v>
      </c>
      <c r="H39">
        <v>1680</v>
      </c>
      <c r="I39" s="57" t="str">
        <f>VLOOKUP(TableTemp[[#This Row],[Company ID]],MCompany[],2,FALSE)</f>
        <v>Lucas Basics</v>
      </c>
      <c r="J39" s="57" t="str">
        <f>VLOOKUP(TableTemp[[#This Row],[Customer code]],MCustomer[],2,FALSE)</f>
        <v>Liebher</v>
      </c>
      <c r="K39" s="57" t="str">
        <f>VLOOKUP(TableTemp[[#This Row],[Article code]],MArticle[],2,FALSE)</f>
        <v>Laptop bag black</v>
      </c>
      <c r="L39" s="57" t="str">
        <f>VLOOKUP(TableTemp[[#This Row],[Company ID]],MCompany[],3,FALSE)</f>
        <v>EUR</v>
      </c>
      <c r="M39" s="57">
        <f>IF(TableTemp[[#This Row],[Currency]]="EUR",ROUND(VLOOKUP(MONTH(TableTemp[[#This Row],[Document Date]]),MExchange[],2,FALSE)*TableTemp[[#This Row],[Sales Local Currency]],2),ROUND(TableTemp[[#This Row],[Sales Local Currency]],2))</f>
        <v>1973.9</v>
      </c>
      <c r="R39" s="46"/>
      <c r="W39" s="46"/>
      <c r="AJ39" s="46"/>
      <c r="AK39" s="52" t="s">
        <v>12</v>
      </c>
      <c r="AL39" s="48">
        <v>11514.41</v>
      </c>
      <c r="AM39" s="48">
        <v>350</v>
      </c>
    </row>
    <row r="40" spans="1:39" x14ac:dyDescent="0.25">
      <c r="A40" t="s">
        <v>31</v>
      </c>
      <c r="B40">
        <v>44032</v>
      </c>
      <c r="C40" s="34">
        <v>43380</v>
      </c>
      <c r="D40">
        <v>8060</v>
      </c>
      <c r="E40">
        <v>109</v>
      </c>
      <c r="G40">
        <v>70</v>
      </c>
      <c r="H40">
        <v>1960</v>
      </c>
      <c r="I40" s="57" t="str">
        <f>VLOOKUP(TableTemp[[#This Row],[Company ID]],MCompany[],2,FALSE)</f>
        <v>Lucas Basics</v>
      </c>
      <c r="J40" s="57" t="str">
        <f>VLOOKUP(TableTemp[[#This Row],[Customer code]],MCustomer[],2,FALSE)</f>
        <v>Liebher</v>
      </c>
      <c r="K40" s="57" t="str">
        <f>VLOOKUP(TableTemp[[#This Row],[Article code]],MArticle[],2,FALSE)</f>
        <v>Laptop bag red</v>
      </c>
      <c r="L40" s="57" t="str">
        <f>VLOOKUP(TableTemp[[#This Row],[Company ID]],MCompany[],3,FALSE)</f>
        <v>EUR</v>
      </c>
      <c r="M40" s="57">
        <f>IF(TableTemp[[#This Row],[Currency]]="EUR",ROUND(VLOOKUP(MONTH(TableTemp[[#This Row],[Document Date]]),MExchange[],2,FALSE)*TableTemp[[#This Row],[Sales Local Currency]],2),ROUND(TableTemp[[#This Row],[Sales Local Currency]],2))</f>
        <v>2302.88</v>
      </c>
      <c r="R40" s="46"/>
      <c r="W40" s="46"/>
      <c r="AJ40" s="46"/>
      <c r="AK40" s="52" t="s">
        <v>14</v>
      </c>
      <c r="AL40" s="48">
        <v>6579.6600000000008</v>
      </c>
      <c r="AM40" s="48">
        <v>280</v>
      </c>
    </row>
    <row r="41" spans="1:39" x14ac:dyDescent="0.25">
      <c r="A41" t="s">
        <v>31</v>
      </c>
      <c r="B41">
        <v>44031</v>
      </c>
      <c r="C41" s="34">
        <v>43381</v>
      </c>
      <c r="D41">
        <v>8050</v>
      </c>
      <c r="E41">
        <v>108</v>
      </c>
      <c r="F41" t="s">
        <v>89</v>
      </c>
      <c r="G41">
        <v>60</v>
      </c>
      <c r="H41">
        <v>1680</v>
      </c>
      <c r="I41" s="57" t="str">
        <f>VLOOKUP(TableTemp[[#This Row],[Company ID]],MCompany[],2,FALSE)</f>
        <v>Lucas Basics</v>
      </c>
      <c r="J41" s="57" t="str">
        <f>VLOOKUP(TableTemp[[#This Row],[Customer code]],MCustomer[],2,FALSE)</f>
        <v>Aida GmbH</v>
      </c>
      <c r="K41" s="57" t="str">
        <f>VLOOKUP(TableTemp[[#This Row],[Article code]],MArticle[],2,FALSE)</f>
        <v>Laptop bag black</v>
      </c>
      <c r="L41" s="57" t="str">
        <f>VLOOKUP(TableTemp[[#This Row],[Company ID]],MCompany[],3,FALSE)</f>
        <v>EUR</v>
      </c>
      <c r="M41" s="57">
        <f>IF(TableTemp[[#This Row],[Currency]]="EUR",ROUND(VLOOKUP(MONTH(TableTemp[[#This Row],[Document Date]]),MExchange[],2,FALSE)*TableTemp[[#This Row],[Sales Local Currency]],2),ROUND(TableTemp[[#This Row],[Sales Local Currency]],2))</f>
        <v>1973.9</v>
      </c>
      <c r="R41" s="46"/>
      <c r="W41" s="46"/>
      <c r="AJ41" s="46"/>
      <c r="AK41" s="47" t="s">
        <v>106</v>
      </c>
      <c r="AL41" s="48">
        <v>46151.61</v>
      </c>
      <c r="AM41" s="48">
        <v>1220</v>
      </c>
    </row>
    <row r="42" spans="1:39" x14ac:dyDescent="0.25">
      <c r="A42" t="s">
        <v>31</v>
      </c>
      <c r="B42">
        <v>44031</v>
      </c>
      <c r="C42" s="34">
        <v>43381</v>
      </c>
      <c r="D42">
        <v>8050</v>
      </c>
      <c r="E42">
        <v>109</v>
      </c>
      <c r="F42" t="s">
        <v>89</v>
      </c>
      <c r="G42">
        <v>50</v>
      </c>
      <c r="H42">
        <v>1400</v>
      </c>
      <c r="I42" s="57" t="str">
        <f>VLOOKUP(TableTemp[[#This Row],[Company ID]],MCompany[],2,FALSE)</f>
        <v>Lucas Basics</v>
      </c>
      <c r="J42" s="57" t="str">
        <f>VLOOKUP(TableTemp[[#This Row],[Customer code]],MCustomer[],2,FALSE)</f>
        <v>Aida GmbH</v>
      </c>
      <c r="K42" s="57" t="str">
        <f>VLOOKUP(TableTemp[[#This Row],[Article code]],MArticle[],2,FALSE)</f>
        <v>Laptop bag red</v>
      </c>
      <c r="L42" s="57" t="str">
        <f>VLOOKUP(TableTemp[[#This Row],[Company ID]],MCompany[],3,FALSE)</f>
        <v>EUR</v>
      </c>
      <c r="M42" s="57">
        <f>IF(TableTemp[[#This Row],[Currency]]="EUR",ROUND(VLOOKUP(MONTH(TableTemp[[#This Row],[Document Date]]),MExchange[],2,FALSE)*TableTemp[[#This Row],[Sales Local Currency]],2),ROUND(TableTemp[[#This Row],[Sales Local Currency]],2))</f>
        <v>1644.91</v>
      </c>
      <c r="R42" s="46"/>
      <c r="W42" s="46"/>
      <c r="AJ42" s="46"/>
      <c r="AK42" s="47" t="s">
        <v>61</v>
      </c>
      <c r="AL42" s="48"/>
      <c r="AM42" s="48"/>
    </row>
    <row r="43" spans="1:39" x14ac:dyDescent="0.25">
      <c r="A43" t="s">
        <v>31</v>
      </c>
      <c r="B43">
        <v>44031</v>
      </c>
      <c r="C43" s="34">
        <v>43381</v>
      </c>
      <c r="D43">
        <v>8050</v>
      </c>
      <c r="E43">
        <v>110</v>
      </c>
      <c r="F43" t="s">
        <v>89</v>
      </c>
      <c r="G43">
        <v>60</v>
      </c>
      <c r="H43">
        <v>3600</v>
      </c>
      <c r="I43" s="57" t="str">
        <f>VLOOKUP(TableTemp[[#This Row],[Company ID]],MCompany[],2,FALSE)</f>
        <v>Lucas Basics</v>
      </c>
      <c r="J43" s="57" t="str">
        <f>VLOOKUP(TableTemp[[#This Row],[Customer code]],MCustomer[],2,FALSE)</f>
        <v>Aida GmbH</v>
      </c>
      <c r="K43" s="57" t="str">
        <f>VLOOKUP(TableTemp[[#This Row],[Article code]],MArticle[],2,FALSE)</f>
        <v>Smartphone case diamond</v>
      </c>
      <c r="L43" s="57" t="str">
        <f>VLOOKUP(TableTemp[[#This Row],[Company ID]],MCompany[],3,FALSE)</f>
        <v>EUR</v>
      </c>
      <c r="M43" s="57">
        <f>IF(TableTemp[[#This Row],[Currency]]="EUR",ROUND(VLOOKUP(MONTH(TableTemp[[#This Row],[Document Date]]),MExchange[],2,FALSE)*TableTemp[[#This Row],[Sales Local Currency]],2),ROUND(TableTemp[[#This Row],[Sales Local Currency]],2))</f>
        <v>4229.78</v>
      </c>
      <c r="R43" s="46"/>
      <c r="W43" s="46"/>
      <c r="AJ43" s="46"/>
      <c r="AK43" s="52" t="s">
        <v>13</v>
      </c>
      <c r="AL43" s="48">
        <v>23968.760000000002</v>
      </c>
      <c r="AM43" s="48">
        <v>340</v>
      </c>
    </row>
    <row r="44" spans="1:39" x14ac:dyDescent="0.25">
      <c r="A44" t="s">
        <v>31</v>
      </c>
      <c r="B44">
        <v>48112</v>
      </c>
      <c r="C44" s="34">
        <v>43384</v>
      </c>
      <c r="D44">
        <v>8060</v>
      </c>
      <c r="E44">
        <v>109</v>
      </c>
      <c r="G44">
        <v>60</v>
      </c>
      <c r="H44">
        <v>1680</v>
      </c>
      <c r="I44" s="57" t="str">
        <f>VLOOKUP(TableTemp[[#This Row],[Company ID]],MCompany[],2,FALSE)</f>
        <v>Lucas Basics</v>
      </c>
      <c r="J44" s="57" t="str">
        <f>VLOOKUP(TableTemp[[#This Row],[Customer code]],MCustomer[],2,FALSE)</f>
        <v>Liebher</v>
      </c>
      <c r="K44" s="57" t="str">
        <f>VLOOKUP(TableTemp[[#This Row],[Article code]],MArticle[],2,FALSE)</f>
        <v>Laptop bag red</v>
      </c>
      <c r="L44" s="57" t="str">
        <f>VLOOKUP(TableTemp[[#This Row],[Company ID]],MCompany[],3,FALSE)</f>
        <v>EUR</v>
      </c>
      <c r="M44" s="57">
        <f>IF(TableTemp[[#This Row],[Currency]]="EUR",ROUND(VLOOKUP(MONTH(TableTemp[[#This Row],[Document Date]]),MExchange[],2,FALSE)*TableTemp[[#This Row],[Sales Local Currency]],2),ROUND(TableTemp[[#This Row],[Sales Local Currency]],2))</f>
        <v>1973.9</v>
      </c>
      <c r="R44" s="46"/>
      <c r="W44" s="46"/>
      <c r="AJ44" s="46"/>
      <c r="AK44" s="52" t="s">
        <v>12</v>
      </c>
      <c r="AL44" s="48">
        <v>21712.880000000005</v>
      </c>
      <c r="AM44" s="48">
        <v>660</v>
      </c>
    </row>
    <row r="45" spans="1:39" x14ac:dyDescent="0.25">
      <c r="A45" t="s">
        <v>31</v>
      </c>
      <c r="B45">
        <v>48112</v>
      </c>
      <c r="C45" s="34">
        <v>43384</v>
      </c>
      <c r="D45">
        <v>8060</v>
      </c>
      <c r="E45">
        <v>110</v>
      </c>
      <c r="F45" t="s">
        <v>89</v>
      </c>
      <c r="G45">
        <v>50</v>
      </c>
      <c r="H45">
        <v>3000</v>
      </c>
      <c r="I45" s="57" t="str">
        <f>VLOOKUP(TableTemp[[#This Row],[Company ID]],MCompany[],2,FALSE)</f>
        <v>Lucas Basics</v>
      </c>
      <c r="J45" s="57" t="str">
        <f>VLOOKUP(TableTemp[[#This Row],[Customer code]],MCustomer[],2,FALSE)</f>
        <v>Liebher</v>
      </c>
      <c r="K45" s="57" t="str">
        <f>VLOOKUP(TableTemp[[#This Row],[Article code]],MArticle[],2,FALSE)</f>
        <v>Smartphone case diamond</v>
      </c>
      <c r="L45" s="57" t="str">
        <f>VLOOKUP(TableTemp[[#This Row],[Company ID]],MCompany[],3,FALSE)</f>
        <v>EUR</v>
      </c>
      <c r="M45" s="57">
        <f>IF(TableTemp[[#This Row],[Currency]]="EUR",ROUND(VLOOKUP(MONTH(TableTemp[[#This Row],[Document Date]]),MExchange[],2,FALSE)*TableTemp[[#This Row],[Sales Local Currency]],2),ROUND(TableTemp[[#This Row],[Sales Local Currency]],2))</f>
        <v>3524.82</v>
      </c>
      <c r="R45" s="46"/>
      <c r="W45" s="46"/>
      <c r="AJ45" s="46"/>
      <c r="AK45" s="52" t="s">
        <v>11</v>
      </c>
      <c r="AL45" s="48">
        <v>12830.34</v>
      </c>
      <c r="AM45" s="48">
        <v>390</v>
      </c>
    </row>
    <row r="46" spans="1:39" x14ac:dyDescent="0.25">
      <c r="A46" t="s">
        <v>31</v>
      </c>
      <c r="B46">
        <v>48114</v>
      </c>
      <c r="C46" s="34">
        <v>43384</v>
      </c>
      <c r="D46">
        <v>8050</v>
      </c>
      <c r="E46">
        <v>109</v>
      </c>
      <c r="G46">
        <v>60</v>
      </c>
      <c r="H46">
        <v>1680</v>
      </c>
      <c r="I46" s="57" t="str">
        <f>VLOOKUP(TableTemp[[#This Row],[Company ID]],MCompany[],2,FALSE)</f>
        <v>Lucas Basics</v>
      </c>
      <c r="J46" s="57" t="str">
        <f>VLOOKUP(TableTemp[[#This Row],[Customer code]],MCustomer[],2,FALSE)</f>
        <v>Aida GmbH</v>
      </c>
      <c r="K46" s="57" t="str">
        <f>VLOOKUP(TableTemp[[#This Row],[Article code]],MArticle[],2,FALSE)</f>
        <v>Laptop bag red</v>
      </c>
      <c r="L46" s="57" t="str">
        <f>VLOOKUP(TableTemp[[#This Row],[Company ID]],MCompany[],3,FALSE)</f>
        <v>EUR</v>
      </c>
      <c r="M46" s="57">
        <f>IF(TableTemp[[#This Row],[Currency]]="EUR",ROUND(VLOOKUP(MONTH(TableTemp[[#This Row],[Document Date]]),MExchange[],2,FALSE)*TableTemp[[#This Row],[Sales Local Currency]],2),ROUND(TableTemp[[#This Row],[Sales Local Currency]],2))</f>
        <v>1973.9</v>
      </c>
      <c r="R46" s="46"/>
      <c r="W46" s="46"/>
      <c r="AJ46" s="46"/>
      <c r="AK46" s="47" t="s">
        <v>110</v>
      </c>
      <c r="AL46" s="48">
        <v>58511.98000000001</v>
      </c>
      <c r="AM46" s="48">
        <v>1390</v>
      </c>
    </row>
    <row r="47" spans="1:39" x14ac:dyDescent="0.25">
      <c r="A47" t="s">
        <v>31</v>
      </c>
      <c r="B47">
        <v>48114</v>
      </c>
      <c r="C47" s="34">
        <v>43384</v>
      </c>
      <c r="D47">
        <v>8050</v>
      </c>
      <c r="E47">
        <v>110</v>
      </c>
      <c r="G47">
        <v>60</v>
      </c>
      <c r="H47">
        <v>3600</v>
      </c>
      <c r="I47" s="57" t="str">
        <f>VLOOKUP(TableTemp[[#This Row],[Company ID]],MCompany[],2,FALSE)</f>
        <v>Lucas Basics</v>
      </c>
      <c r="J47" s="57" t="str">
        <f>VLOOKUP(TableTemp[[#This Row],[Customer code]],MCustomer[],2,FALSE)</f>
        <v>Aida GmbH</v>
      </c>
      <c r="K47" s="57" t="str">
        <f>VLOOKUP(TableTemp[[#This Row],[Article code]],MArticle[],2,FALSE)</f>
        <v>Smartphone case diamond</v>
      </c>
      <c r="L47" s="57" t="str">
        <f>VLOOKUP(TableTemp[[#This Row],[Company ID]],MCompany[],3,FALSE)</f>
        <v>EUR</v>
      </c>
      <c r="M47" s="57">
        <f>IF(TableTemp[[#This Row],[Currency]]="EUR",ROUND(VLOOKUP(MONTH(TableTemp[[#This Row],[Document Date]]),MExchange[],2,FALSE)*TableTemp[[#This Row],[Sales Local Currency]],2),ROUND(TableTemp[[#This Row],[Sales Local Currency]],2))</f>
        <v>4229.78</v>
      </c>
      <c r="R47" s="46"/>
      <c r="W47" s="46"/>
      <c r="AJ47" s="46"/>
      <c r="AK47" s="42" t="s">
        <v>111</v>
      </c>
      <c r="AL47" s="48">
        <v>104663.59</v>
      </c>
      <c r="AM47" s="48">
        <v>2610</v>
      </c>
    </row>
    <row r="48" spans="1:39" x14ac:dyDescent="0.25">
      <c r="A48" t="s">
        <v>31</v>
      </c>
      <c r="B48">
        <v>48114</v>
      </c>
      <c r="C48" s="34">
        <v>43384</v>
      </c>
      <c r="D48">
        <v>8050</v>
      </c>
      <c r="E48">
        <v>111</v>
      </c>
      <c r="G48">
        <v>80</v>
      </c>
      <c r="H48">
        <v>1600</v>
      </c>
      <c r="I48" s="57" t="str">
        <f>VLOOKUP(TableTemp[[#This Row],[Company ID]],MCompany[],2,FALSE)</f>
        <v>Lucas Basics</v>
      </c>
      <c r="J48" s="57" t="str">
        <f>VLOOKUP(TableTemp[[#This Row],[Customer code]],MCustomer[],2,FALSE)</f>
        <v>Aida GmbH</v>
      </c>
      <c r="K48" s="57" t="str">
        <f>VLOOKUP(TableTemp[[#This Row],[Article code]],MArticle[],2,FALSE)</f>
        <v>Smartphone case simple</v>
      </c>
      <c r="L48" s="57" t="str">
        <f>VLOOKUP(TableTemp[[#This Row],[Company ID]],MCompany[],3,FALSE)</f>
        <v>EUR</v>
      </c>
      <c r="M48" s="57">
        <f>IF(TableTemp[[#This Row],[Currency]]="EUR",ROUND(VLOOKUP(MONTH(TableTemp[[#This Row],[Document Date]]),MExchange[],2,FALSE)*TableTemp[[#This Row],[Sales Local Currency]],2),ROUND(TableTemp[[#This Row],[Sales Local Currency]],2))</f>
        <v>1879.9</v>
      </c>
      <c r="R48" s="46"/>
      <c r="W48" s="46"/>
      <c r="AJ48" s="46"/>
      <c r="AK48" s="42" t="s">
        <v>96</v>
      </c>
      <c r="AL48" s="48">
        <v>648742.6100000001</v>
      </c>
      <c r="AM48" s="48">
        <v>19350</v>
      </c>
    </row>
    <row r="49" spans="1:36" x14ac:dyDescent="0.25">
      <c r="A49" t="s">
        <v>31</v>
      </c>
      <c r="B49">
        <v>48116</v>
      </c>
      <c r="C49" s="34">
        <v>43384</v>
      </c>
      <c r="D49">
        <v>8060</v>
      </c>
      <c r="E49">
        <v>109</v>
      </c>
      <c r="G49">
        <v>60</v>
      </c>
      <c r="H49">
        <v>1680</v>
      </c>
      <c r="I49" s="57" t="str">
        <f>VLOOKUP(TableTemp[[#This Row],[Company ID]],MCompany[],2,FALSE)</f>
        <v>Lucas Basics</v>
      </c>
      <c r="J49" s="57" t="str">
        <f>VLOOKUP(TableTemp[[#This Row],[Customer code]],MCustomer[],2,FALSE)</f>
        <v>Liebher</v>
      </c>
      <c r="K49" s="57" t="str">
        <f>VLOOKUP(TableTemp[[#This Row],[Article code]],MArticle[],2,FALSE)</f>
        <v>Laptop bag red</v>
      </c>
      <c r="L49" s="57" t="str">
        <f>VLOOKUP(TableTemp[[#This Row],[Company ID]],MCompany[],3,FALSE)</f>
        <v>EUR</v>
      </c>
      <c r="M49" s="57">
        <f>IF(TableTemp[[#This Row],[Currency]]="EUR",ROUND(VLOOKUP(MONTH(TableTemp[[#This Row],[Document Date]]),MExchange[],2,FALSE)*TableTemp[[#This Row],[Sales Local Currency]],2),ROUND(TableTemp[[#This Row],[Sales Local Currency]],2))</f>
        <v>1973.9</v>
      </c>
      <c r="R49" s="46"/>
      <c r="W49" s="46"/>
      <c r="AJ49" s="46"/>
    </row>
    <row r="50" spans="1:36" x14ac:dyDescent="0.25">
      <c r="A50" t="s">
        <v>31</v>
      </c>
      <c r="B50">
        <v>48116</v>
      </c>
      <c r="C50" s="34">
        <v>43384</v>
      </c>
      <c r="D50">
        <v>8060</v>
      </c>
      <c r="E50">
        <v>110</v>
      </c>
      <c r="G50">
        <v>60</v>
      </c>
      <c r="H50">
        <v>3600</v>
      </c>
      <c r="I50" s="57" t="str">
        <f>VLOOKUP(TableTemp[[#This Row],[Company ID]],MCompany[],2,FALSE)</f>
        <v>Lucas Basics</v>
      </c>
      <c r="J50" s="57" t="str">
        <f>VLOOKUP(TableTemp[[#This Row],[Customer code]],MCustomer[],2,FALSE)</f>
        <v>Liebher</v>
      </c>
      <c r="K50" s="57" t="str">
        <f>VLOOKUP(TableTemp[[#This Row],[Article code]],MArticle[],2,FALSE)</f>
        <v>Smartphone case diamond</v>
      </c>
      <c r="L50" s="57" t="str">
        <f>VLOOKUP(TableTemp[[#This Row],[Company ID]],MCompany[],3,FALSE)</f>
        <v>EUR</v>
      </c>
      <c r="M50" s="57">
        <f>IF(TableTemp[[#This Row],[Currency]]="EUR",ROUND(VLOOKUP(MONTH(TableTemp[[#This Row],[Document Date]]),MExchange[],2,FALSE)*TableTemp[[#This Row],[Sales Local Currency]],2),ROUND(TableTemp[[#This Row],[Sales Local Currency]],2))</f>
        <v>4229.78</v>
      </c>
      <c r="R50" s="46"/>
      <c r="W50" s="46"/>
      <c r="AJ50" s="46"/>
    </row>
    <row r="51" spans="1:36" x14ac:dyDescent="0.25">
      <c r="A51" t="s">
        <v>31</v>
      </c>
      <c r="B51">
        <v>45442</v>
      </c>
      <c r="C51" s="34">
        <v>43388</v>
      </c>
      <c r="D51">
        <v>8050</v>
      </c>
      <c r="E51">
        <v>108</v>
      </c>
      <c r="G51">
        <v>50</v>
      </c>
      <c r="H51">
        <v>1400</v>
      </c>
      <c r="I51" s="57" t="str">
        <f>VLOOKUP(TableTemp[[#This Row],[Company ID]],MCompany[],2,FALSE)</f>
        <v>Lucas Basics</v>
      </c>
      <c r="J51" s="57" t="str">
        <f>VLOOKUP(TableTemp[[#This Row],[Customer code]],MCustomer[],2,FALSE)</f>
        <v>Aida GmbH</v>
      </c>
      <c r="K51" s="57" t="str">
        <f>VLOOKUP(TableTemp[[#This Row],[Article code]],MArticle[],2,FALSE)</f>
        <v>Laptop bag black</v>
      </c>
      <c r="L51" s="57" t="str">
        <f>VLOOKUP(TableTemp[[#This Row],[Company ID]],MCompany[],3,FALSE)</f>
        <v>EUR</v>
      </c>
      <c r="M51" s="57">
        <f>IF(TableTemp[[#This Row],[Currency]]="EUR",ROUND(VLOOKUP(MONTH(TableTemp[[#This Row],[Document Date]]),MExchange[],2,FALSE)*TableTemp[[#This Row],[Sales Local Currency]],2),ROUND(TableTemp[[#This Row],[Sales Local Currency]],2))</f>
        <v>1644.91</v>
      </c>
      <c r="R51" s="46"/>
      <c r="W51" s="46"/>
      <c r="AJ51" s="46"/>
    </row>
    <row r="52" spans="1:36" x14ac:dyDescent="0.25">
      <c r="A52" t="s">
        <v>31</v>
      </c>
      <c r="B52">
        <v>45442</v>
      </c>
      <c r="C52" s="34">
        <v>43388</v>
      </c>
      <c r="D52">
        <v>8050</v>
      </c>
      <c r="E52">
        <v>109</v>
      </c>
      <c r="F52">
        <v>1</v>
      </c>
      <c r="G52">
        <v>60</v>
      </c>
      <c r="H52">
        <v>1680</v>
      </c>
      <c r="I52" s="57" t="str">
        <f>VLOOKUP(TableTemp[[#This Row],[Company ID]],MCompany[],2,FALSE)</f>
        <v>Lucas Basics</v>
      </c>
      <c r="J52" s="57" t="str">
        <f>VLOOKUP(TableTemp[[#This Row],[Customer code]],MCustomer[],2,FALSE)</f>
        <v>Aida GmbH</v>
      </c>
      <c r="K52" s="57" t="str">
        <f>VLOOKUP(TableTemp[[#This Row],[Article code]],MArticle[],2,FALSE)</f>
        <v>Laptop bag red</v>
      </c>
      <c r="L52" s="57" t="str">
        <f>VLOOKUP(TableTemp[[#This Row],[Company ID]],MCompany[],3,FALSE)</f>
        <v>EUR</v>
      </c>
      <c r="M52" s="57">
        <f>IF(TableTemp[[#This Row],[Currency]]="EUR",ROUND(VLOOKUP(MONTH(TableTemp[[#This Row],[Document Date]]),MExchange[],2,FALSE)*TableTemp[[#This Row],[Sales Local Currency]],2),ROUND(TableTemp[[#This Row],[Sales Local Currency]],2))</f>
        <v>1973.9</v>
      </c>
      <c r="R52" s="46"/>
      <c r="W52" s="46"/>
      <c r="AJ52" s="46"/>
    </row>
    <row r="53" spans="1:36" x14ac:dyDescent="0.25">
      <c r="A53" t="s">
        <v>31</v>
      </c>
      <c r="B53">
        <v>45444</v>
      </c>
      <c r="C53" s="34">
        <v>43388</v>
      </c>
      <c r="D53">
        <v>8060</v>
      </c>
      <c r="E53">
        <v>108</v>
      </c>
      <c r="G53">
        <v>60</v>
      </c>
      <c r="H53">
        <v>1680</v>
      </c>
      <c r="I53" s="57" t="str">
        <f>VLOOKUP(TableTemp[[#This Row],[Company ID]],MCompany[],2,FALSE)</f>
        <v>Lucas Basics</v>
      </c>
      <c r="J53" s="57" t="str">
        <f>VLOOKUP(TableTemp[[#This Row],[Customer code]],MCustomer[],2,FALSE)</f>
        <v>Liebher</v>
      </c>
      <c r="K53" s="57" t="str">
        <f>VLOOKUP(TableTemp[[#This Row],[Article code]],MArticle[],2,FALSE)</f>
        <v>Laptop bag black</v>
      </c>
      <c r="L53" s="57" t="str">
        <f>VLOOKUP(TableTemp[[#This Row],[Company ID]],MCompany[],3,FALSE)</f>
        <v>EUR</v>
      </c>
      <c r="M53" s="57">
        <f>IF(TableTemp[[#This Row],[Currency]]="EUR",ROUND(VLOOKUP(MONTH(TableTemp[[#This Row],[Document Date]]),MExchange[],2,FALSE)*TableTemp[[#This Row],[Sales Local Currency]],2),ROUND(TableTemp[[#This Row],[Sales Local Currency]],2))</f>
        <v>1973.9</v>
      </c>
    </row>
    <row r="54" spans="1:36" x14ac:dyDescent="0.25">
      <c r="A54" t="s">
        <v>31</v>
      </c>
      <c r="B54">
        <v>45444</v>
      </c>
      <c r="C54" s="34">
        <v>43388</v>
      </c>
      <c r="D54">
        <v>8060</v>
      </c>
      <c r="E54">
        <v>109</v>
      </c>
      <c r="G54">
        <v>70</v>
      </c>
      <c r="H54">
        <v>1960</v>
      </c>
      <c r="I54" s="57" t="str">
        <f>VLOOKUP(TableTemp[[#This Row],[Company ID]],MCompany[],2,FALSE)</f>
        <v>Lucas Basics</v>
      </c>
      <c r="J54" s="57" t="str">
        <f>VLOOKUP(TableTemp[[#This Row],[Customer code]],MCustomer[],2,FALSE)</f>
        <v>Liebher</v>
      </c>
      <c r="K54" s="57" t="str">
        <f>VLOOKUP(TableTemp[[#This Row],[Article code]],MArticle[],2,FALSE)</f>
        <v>Laptop bag red</v>
      </c>
      <c r="L54" s="57" t="str">
        <f>VLOOKUP(TableTemp[[#This Row],[Company ID]],MCompany[],3,FALSE)</f>
        <v>EUR</v>
      </c>
      <c r="M54" s="57">
        <f>IF(TableTemp[[#This Row],[Currency]]="EUR",ROUND(VLOOKUP(MONTH(TableTemp[[#This Row],[Document Date]]),MExchange[],2,FALSE)*TableTemp[[#This Row],[Sales Local Currency]],2),ROUND(TableTemp[[#This Row],[Sales Local Currency]],2))</f>
        <v>2302.88</v>
      </c>
    </row>
    <row r="55" spans="1:36" x14ac:dyDescent="0.25">
      <c r="A55" t="s">
        <v>31</v>
      </c>
      <c r="B55">
        <v>45444</v>
      </c>
      <c r="C55" s="34">
        <v>43388</v>
      </c>
      <c r="D55">
        <v>8060</v>
      </c>
      <c r="E55">
        <v>110</v>
      </c>
      <c r="G55">
        <v>60</v>
      </c>
      <c r="H55">
        <v>3600</v>
      </c>
      <c r="I55" s="57" t="str">
        <f>VLOOKUP(TableTemp[[#This Row],[Company ID]],MCompany[],2,FALSE)</f>
        <v>Lucas Basics</v>
      </c>
      <c r="J55" s="57" t="str">
        <f>VLOOKUP(TableTemp[[#This Row],[Customer code]],MCustomer[],2,FALSE)</f>
        <v>Liebher</v>
      </c>
      <c r="K55" s="57" t="str">
        <f>VLOOKUP(TableTemp[[#This Row],[Article code]],MArticle[],2,FALSE)</f>
        <v>Smartphone case diamond</v>
      </c>
      <c r="L55" s="57" t="str">
        <f>VLOOKUP(TableTemp[[#This Row],[Company ID]],MCompany[],3,FALSE)</f>
        <v>EUR</v>
      </c>
      <c r="M55" s="57">
        <f>IF(TableTemp[[#This Row],[Currency]]="EUR",ROUND(VLOOKUP(MONTH(TableTemp[[#This Row],[Document Date]]),MExchange[],2,FALSE)*TableTemp[[#This Row],[Sales Local Currency]],2),ROUND(TableTemp[[#This Row],[Sales Local Currency]],2))</f>
        <v>4229.78</v>
      </c>
    </row>
    <row r="56" spans="1:36" x14ac:dyDescent="0.25">
      <c r="A56" t="s">
        <v>31</v>
      </c>
      <c r="B56">
        <v>45446</v>
      </c>
      <c r="C56" s="34">
        <v>43388</v>
      </c>
      <c r="D56">
        <v>8050</v>
      </c>
      <c r="E56">
        <v>111</v>
      </c>
      <c r="G56">
        <v>80</v>
      </c>
      <c r="H56">
        <v>1600</v>
      </c>
      <c r="I56" s="57" t="str">
        <f>VLOOKUP(TableTemp[[#This Row],[Company ID]],MCompany[],2,FALSE)</f>
        <v>Lucas Basics</v>
      </c>
      <c r="J56" s="57" t="str">
        <f>VLOOKUP(TableTemp[[#This Row],[Customer code]],MCustomer[],2,FALSE)</f>
        <v>Aida GmbH</v>
      </c>
      <c r="K56" s="57" t="str">
        <f>VLOOKUP(TableTemp[[#This Row],[Article code]],MArticle[],2,FALSE)</f>
        <v>Smartphone case simple</v>
      </c>
      <c r="L56" s="57" t="str">
        <f>VLOOKUP(TableTemp[[#This Row],[Company ID]],MCompany[],3,FALSE)</f>
        <v>EUR</v>
      </c>
      <c r="M56" s="57">
        <f>IF(TableTemp[[#This Row],[Currency]]="EUR",ROUND(VLOOKUP(MONTH(TableTemp[[#This Row],[Document Date]]),MExchange[],2,FALSE)*TableTemp[[#This Row],[Sales Local Currency]],2),ROUND(TableTemp[[#This Row],[Sales Local Currency]],2))</f>
        <v>1879.9</v>
      </c>
    </row>
    <row r="57" spans="1:36" x14ac:dyDescent="0.25">
      <c r="A57" t="s">
        <v>31</v>
      </c>
      <c r="B57">
        <v>45446</v>
      </c>
      <c r="C57" s="34">
        <v>43388</v>
      </c>
      <c r="D57">
        <v>8050</v>
      </c>
      <c r="E57">
        <v>108</v>
      </c>
      <c r="G57">
        <v>50</v>
      </c>
      <c r="H57">
        <v>1400</v>
      </c>
      <c r="I57" s="57" t="str">
        <f>VLOOKUP(TableTemp[[#This Row],[Company ID]],MCompany[],2,FALSE)</f>
        <v>Lucas Basics</v>
      </c>
      <c r="J57" s="57" t="str">
        <f>VLOOKUP(TableTemp[[#This Row],[Customer code]],MCustomer[],2,FALSE)</f>
        <v>Aida GmbH</v>
      </c>
      <c r="K57" s="57" t="str">
        <f>VLOOKUP(TableTemp[[#This Row],[Article code]],MArticle[],2,FALSE)</f>
        <v>Laptop bag black</v>
      </c>
      <c r="L57" s="57" t="str">
        <f>VLOOKUP(TableTemp[[#This Row],[Company ID]],MCompany[],3,FALSE)</f>
        <v>EUR</v>
      </c>
      <c r="M57" s="57">
        <f>IF(TableTemp[[#This Row],[Currency]]="EUR",ROUND(VLOOKUP(MONTH(TableTemp[[#This Row],[Document Date]]),MExchange[],2,FALSE)*TableTemp[[#This Row],[Sales Local Currency]],2),ROUND(TableTemp[[#This Row],[Sales Local Currency]],2))</f>
        <v>1644.91</v>
      </c>
    </row>
    <row r="58" spans="1:36" x14ac:dyDescent="0.25">
      <c r="A58" t="s">
        <v>31</v>
      </c>
      <c r="B58">
        <v>44015</v>
      </c>
      <c r="C58" s="34">
        <v>43383</v>
      </c>
      <c r="D58">
        <v>8060</v>
      </c>
      <c r="E58">
        <v>108</v>
      </c>
      <c r="G58">
        <v>60</v>
      </c>
      <c r="H58">
        <v>1680</v>
      </c>
      <c r="I58" s="57" t="str">
        <f>VLOOKUP(TableTemp[[#This Row],[Company ID]],MCompany[],2,FALSE)</f>
        <v>Lucas Basics</v>
      </c>
      <c r="J58" s="57" t="str">
        <f>VLOOKUP(TableTemp[[#This Row],[Customer code]],MCustomer[],2,FALSE)</f>
        <v>Liebher</v>
      </c>
      <c r="K58" s="57" t="str">
        <f>VLOOKUP(TableTemp[[#This Row],[Article code]],MArticle[],2,FALSE)</f>
        <v>Laptop bag black</v>
      </c>
      <c r="L58" s="57" t="str">
        <f>VLOOKUP(TableTemp[[#This Row],[Company ID]],MCompany[],3,FALSE)</f>
        <v>EUR</v>
      </c>
      <c r="M58" s="57">
        <f>IF(TableTemp[[#This Row],[Currency]]="EUR",ROUND(VLOOKUP(MONTH(TableTemp[[#This Row],[Document Date]]),MExchange[],2,FALSE)*TableTemp[[#This Row],[Sales Local Currency]],2),ROUND(TableTemp[[#This Row],[Sales Local Currency]],2))</f>
        <v>1973.9</v>
      </c>
    </row>
    <row r="59" spans="1:36" x14ac:dyDescent="0.25">
      <c r="A59" t="s">
        <v>31</v>
      </c>
      <c r="B59">
        <v>44015</v>
      </c>
      <c r="C59" s="34">
        <v>43383</v>
      </c>
      <c r="D59">
        <v>8060</v>
      </c>
      <c r="E59">
        <v>109</v>
      </c>
      <c r="G59">
        <v>70</v>
      </c>
      <c r="H59">
        <v>1960</v>
      </c>
      <c r="I59" s="57" t="str">
        <f>VLOOKUP(TableTemp[[#This Row],[Company ID]],MCompany[],2,FALSE)</f>
        <v>Lucas Basics</v>
      </c>
      <c r="J59" s="57" t="str">
        <f>VLOOKUP(TableTemp[[#This Row],[Customer code]],MCustomer[],2,FALSE)</f>
        <v>Liebher</v>
      </c>
      <c r="K59" s="57" t="str">
        <f>VLOOKUP(TableTemp[[#This Row],[Article code]],MArticle[],2,FALSE)</f>
        <v>Laptop bag red</v>
      </c>
      <c r="L59" s="57" t="str">
        <f>VLOOKUP(TableTemp[[#This Row],[Company ID]],MCompany[],3,FALSE)</f>
        <v>EUR</v>
      </c>
      <c r="M59" s="57">
        <f>IF(TableTemp[[#This Row],[Currency]]="EUR",ROUND(VLOOKUP(MONTH(TableTemp[[#This Row],[Document Date]]),MExchange[],2,FALSE)*TableTemp[[#This Row],[Sales Local Currency]],2),ROUND(TableTemp[[#This Row],[Sales Local Currency]],2))</f>
        <v>2302.88</v>
      </c>
    </row>
    <row r="60" spans="1:36" x14ac:dyDescent="0.25">
      <c r="A60" t="s">
        <v>31</v>
      </c>
      <c r="B60">
        <v>44017</v>
      </c>
      <c r="C60" s="34">
        <v>43386</v>
      </c>
      <c r="D60">
        <v>8060</v>
      </c>
      <c r="E60">
        <v>108</v>
      </c>
      <c r="G60">
        <v>70</v>
      </c>
      <c r="H60">
        <v>1960</v>
      </c>
      <c r="I60" s="57" t="str">
        <f>VLOOKUP(TableTemp[[#This Row],[Company ID]],MCompany[],2,FALSE)</f>
        <v>Lucas Basics</v>
      </c>
      <c r="J60" s="57" t="str">
        <f>VLOOKUP(TableTemp[[#This Row],[Customer code]],MCustomer[],2,FALSE)</f>
        <v>Liebher</v>
      </c>
      <c r="K60" s="57" t="str">
        <f>VLOOKUP(TableTemp[[#This Row],[Article code]],MArticle[],2,FALSE)</f>
        <v>Laptop bag black</v>
      </c>
      <c r="L60" s="57" t="str">
        <f>VLOOKUP(TableTemp[[#This Row],[Company ID]],MCompany[],3,FALSE)</f>
        <v>EUR</v>
      </c>
      <c r="M60" s="57">
        <f>IF(TableTemp[[#This Row],[Currency]]="EUR",ROUND(VLOOKUP(MONTH(TableTemp[[#This Row],[Document Date]]),MExchange[],2,FALSE)*TableTemp[[#This Row],[Sales Local Currency]],2),ROUND(TableTemp[[#This Row],[Sales Local Currency]],2))</f>
        <v>2302.88</v>
      </c>
    </row>
    <row r="61" spans="1:36" x14ac:dyDescent="0.25">
      <c r="A61" t="s">
        <v>31</v>
      </c>
      <c r="B61">
        <v>44017</v>
      </c>
      <c r="C61" s="34">
        <v>43386</v>
      </c>
      <c r="D61">
        <v>8060</v>
      </c>
      <c r="E61">
        <v>109</v>
      </c>
      <c r="G61">
        <v>70</v>
      </c>
      <c r="H61">
        <v>1960</v>
      </c>
      <c r="I61" s="57" t="str">
        <f>VLOOKUP(TableTemp[[#This Row],[Company ID]],MCompany[],2,FALSE)</f>
        <v>Lucas Basics</v>
      </c>
      <c r="J61" s="57" t="str">
        <f>VLOOKUP(TableTemp[[#This Row],[Customer code]],MCustomer[],2,FALSE)</f>
        <v>Liebher</v>
      </c>
      <c r="K61" s="57" t="str">
        <f>VLOOKUP(TableTemp[[#This Row],[Article code]],MArticle[],2,FALSE)</f>
        <v>Laptop bag red</v>
      </c>
      <c r="L61" s="57" t="str">
        <f>VLOOKUP(TableTemp[[#This Row],[Company ID]],MCompany[],3,FALSE)</f>
        <v>EUR</v>
      </c>
      <c r="M61" s="57">
        <f>IF(TableTemp[[#This Row],[Currency]]="EUR",ROUND(VLOOKUP(MONTH(TableTemp[[#This Row],[Document Date]]),MExchange[],2,FALSE)*TableTemp[[#This Row],[Sales Local Currency]],2),ROUND(TableTemp[[#This Row],[Sales Local Currency]],2))</f>
        <v>2302.88</v>
      </c>
    </row>
    <row r="62" spans="1:36" x14ac:dyDescent="0.25">
      <c r="A62" t="s">
        <v>31</v>
      </c>
      <c r="B62">
        <v>44016</v>
      </c>
      <c r="C62" s="34">
        <v>43387</v>
      </c>
      <c r="D62">
        <v>8050</v>
      </c>
      <c r="E62">
        <v>108</v>
      </c>
      <c r="G62">
        <v>70</v>
      </c>
      <c r="H62">
        <v>1960</v>
      </c>
      <c r="I62" s="57" t="str">
        <f>VLOOKUP(TableTemp[[#This Row],[Company ID]],MCompany[],2,FALSE)</f>
        <v>Lucas Basics</v>
      </c>
      <c r="J62" s="57" t="str">
        <f>VLOOKUP(TableTemp[[#This Row],[Customer code]],MCustomer[],2,FALSE)</f>
        <v>Aida GmbH</v>
      </c>
      <c r="K62" s="57" t="str">
        <f>VLOOKUP(TableTemp[[#This Row],[Article code]],MArticle[],2,FALSE)</f>
        <v>Laptop bag black</v>
      </c>
      <c r="L62" s="57" t="str">
        <f>VLOOKUP(TableTemp[[#This Row],[Company ID]],MCompany[],3,FALSE)</f>
        <v>EUR</v>
      </c>
      <c r="M62" s="57">
        <f>IF(TableTemp[[#This Row],[Currency]]="EUR",ROUND(VLOOKUP(MONTH(TableTemp[[#This Row],[Document Date]]),MExchange[],2,FALSE)*TableTemp[[#This Row],[Sales Local Currency]],2),ROUND(TableTemp[[#This Row],[Sales Local Currency]],2))</f>
        <v>2302.88</v>
      </c>
    </row>
    <row r="63" spans="1:36" x14ac:dyDescent="0.25">
      <c r="A63" t="s">
        <v>31</v>
      </c>
      <c r="B63">
        <v>44016</v>
      </c>
      <c r="C63" s="34">
        <v>43387</v>
      </c>
      <c r="D63">
        <v>8050</v>
      </c>
      <c r="E63">
        <v>109</v>
      </c>
      <c r="F63">
        <v>1</v>
      </c>
      <c r="G63">
        <v>60</v>
      </c>
      <c r="H63">
        <v>1680</v>
      </c>
      <c r="I63" s="57" t="str">
        <f>VLOOKUP(TableTemp[[#This Row],[Company ID]],MCompany[],2,FALSE)</f>
        <v>Lucas Basics</v>
      </c>
      <c r="J63" s="57" t="str">
        <f>VLOOKUP(TableTemp[[#This Row],[Customer code]],MCustomer[],2,FALSE)</f>
        <v>Aida GmbH</v>
      </c>
      <c r="K63" s="57" t="str">
        <f>VLOOKUP(TableTemp[[#This Row],[Article code]],MArticle[],2,FALSE)</f>
        <v>Laptop bag red</v>
      </c>
      <c r="L63" s="57" t="str">
        <f>VLOOKUP(TableTemp[[#This Row],[Company ID]],MCompany[],3,FALSE)</f>
        <v>EUR</v>
      </c>
      <c r="M63" s="57">
        <f>IF(TableTemp[[#This Row],[Currency]]="EUR",ROUND(VLOOKUP(MONTH(TableTemp[[#This Row],[Document Date]]),MExchange[],2,FALSE)*TableTemp[[#This Row],[Sales Local Currency]],2),ROUND(TableTemp[[#This Row],[Sales Local Currency]],2))</f>
        <v>1973.9</v>
      </c>
    </row>
    <row r="64" spans="1:36" x14ac:dyDescent="0.25">
      <c r="A64" t="s">
        <v>31</v>
      </c>
      <c r="B64">
        <v>44016</v>
      </c>
      <c r="C64" s="34">
        <v>43387</v>
      </c>
      <c r="D64">
        <v>8050</v>
      </c>
      <c r="E64">
        <v>110</v>
      </c>
      <c r="G64">
        <v>50</v>
      </c>
      <c r="H64">
        <v>3000</v>
      </c>
      <c r="I64" s="57" t="str">
        <f>VLOOKUP(TableTemp[[#This Row],[Company ID]],MCompany[],2,FALSE)</f>
        <v>Lucas Basics</v>
      </c>
      <c r="J64" s="57" t="str">
        <f>VLOOKUP(TableTemp[[#This Row],[Customer code]],MCustomer[],2,FALSE)</f>
        <v>Aida GmbH</v>
      </c>
      <c r="K64" s="57" t="str">
        <f>VLOOKUP(TableTemp[[#This Row],[Article code]],MArticle[],2,FALSE)</f>
        <v>Smartphone case diamond</v>
      </c>
      <c r="L64" s="57" t="str">
        <f>VLOOKUP(TableTemp[[#This Row],[Company ID]],MCompany[],3,FALSE)</f>
        <v>EUR</v>
      </c>
      <c r="M64" s="57">
        <f>IF(TableTemp[[#This Row],[Currency]]="EUR",ROUND(VLOOKUP(MONTH(TableTemp[[#This Row],[Document Date]]),MExchange[],2,FALSE)*TableTemp[[#This Row],[Sales Local Currency]],2),ROUND(TableTemp[[#This Row],[Sales Local Currency]],2))</f>
        <v>3524.82</v>
      </c>
    </row>
    <row r="65" spans="1:13" x14ac:dyDescent="0.25">
      <c r="A65" t="s">
        <v>31</v>
      </c>
      <c r="B65">
        <v>48097</v>
      </c>
      <c r="C65" s="34">
        <v>43390</v>
      </c>
      <c r="D65">
        <v>8060</v>
      </c>
      <c r="E65">
        <v>109</v>
      </c>
      <c r="G65">
        <v>60</v>
      </c>
      <c r="H65">
        <v>1680</v>
      </c>
      <c r="I65" s="57" t="str">
        <f>VLOOKUP(TableTemp[[#This Row],[Company ID]],MCompany[],2,FALSE)</f>
        <v>Lucas Basics</v>
      </c>
      <c r="J65" s="57" t="str">
        <f>VLOOKUP(TableTemp[[#This Row],[Customer code]],MCustomer[],2,FALSE)</f>
        <v>Liebher</v>
      </c>
      <c r="K65" s="57" t="str">
        <f>VLOOKUP(TableTemp[[#This Row],[Article code]],MArticle[],2,FALSE)</f>
        <v>Laptop bag red</v>
      </c>
      <c r="L65" s="57" t="str">
        <f>VLOOKUP(TableTemp[[#This Row],[Company ID]],MCompany[],3,FALSE)</f>
        <v>EUR</v>
      </c>
      <c r="M65" s="57">
        <f>IF(TableTemp[[#This Row],[Currency]]="EUR",ROUND(VLOOKUP(MONTH(TableTemp[[#This Row],[Document Date]]),MExchange[],2,FALSE)*TableTemp[[#This Row],[Sales Local Currency]],2),ROUND(TableTemp[[#This Row],[Sales Local Currency]],2))</f>
        <v>1973.9</v>
      </c>
    </row>
    <row r="66" spans="1:13" x14ac:dyDescent="0.25">
      <c r="A66" t="s">
        <v>31</v>
      </c>
      <c r="B66">
        <v>48097</v>
      </c>
      <c r="C66" s="34">
        <v>43390</v>
      </c>
      <c r="D66">
        <v>8060</v>
      </c>
      <c r="E66">
        <v>110</v>
      </c>
      <c r="G66">
        <v>70</v>
      </c>
      <c r="H66">
        <v>4200</v>
      </c>
      <c r="I66" s="57" t="str">
        <f>VLOOKUP(TableTemp[[#This Row],[Company ID]],MCompany[],2,FALSE)</f>
        <v>Lucas Basics</v>
      </c>
      <c r="J66" s="57" t="str">
        <f>VLOOKUP(TableTemp[[#This Row],[Customer code]],MCustomer[],2,FALSE)</f>
        <v>Liebher</v>
      </c>
      <c r="K66" s="57" t="str">
        <f>VLOOKUP(TableTemp[[#This Row],[Article code]],MArticle[],2,FALSE)</f>
        <v>Smartphone case diamond</v>
      </c>
      <c r="L66" s="57" t="str">
        <f>VLOOKUP(TableTemp[[#This Row],[Company ID]],MCompany[],3,FALSE)</f>
        <v>EUR</v>
      </c>
      <c r="M66" s="57">
        <f>IF(TableTemp[[#This Row],[Currency]]="EUR",ROUND(VLOOKUP(MONTH(TableTemp[[#This Row],[Document Date]]),MExchange[],2,FALSE)*TableTemp[[#This Row],[Sales Local Currency]],2),ROUND(TableTemp[[#This Row],[Sales Local Currency]],2))</f>
        <v>4934.74</v>
      </c>
    </row>
    <row r="67" spans="1:13" x14ac:dyDescent="0.25">
      <c r="A67" t="s">
        <v>31</v>
      </c>
      <c r="B67">
        <v>48099</v>
      </c>
      <c r="C67" s="34">
        <v>43390</v>
      </c>
      <c r="D67">
        <v>8050</v>
      </c>
      <c r="E67">
        <v>109</v>
      </c>
      <c r="F67">
        <v>1</v>
      </c>
      <c r="G67">
        <v>60</v>
      </c>
      <c r="H67">
        <v>1680</v>
      </c>
      <c r="I67" s="57" t="str">
        <f>VLOOKUP(TableTemp[[#This Row],[Company ID]],MCompany[],2,FALSE)</f>
        <v>Lucas Basics</v>
      </c>
      <c r="J67" s="57" t="str">
        <f>VLOOKUP(TableTemp[[#This Row],[Customer code]],MCustomer[],2,FALSE)</f>
        <v>Aida GmbH</v>
      </c>
      <c r="K67" s="57" t="str">
        <f>VLOOKUP(TableTemp[[#This Row],[Article code]],MArticle[],2,FALSE)</f>
        <v>Laptop bag red</v>
      </c>
      <c r="L67" s="57" t="str">
        <f>VLOOKUP(TableTemp[[#This Row],[Company ID]],MCompany[],3,FALSE)</f>
        <v>EUR</v>
      </c>
      <c r="M67" s="57">
        <f>IF(TableTemp[[#This Row],[Currency]]="EUR",ROUND(VLOOKUP(MONTH(TableTemp[[#This Row],[Document Date]]),MExchange[],2,FALSE)*TableTemp[[#This Row],[Sales Local Currency]],2),ROUND(TableTemp[[#This Row],[Sales Local Currency]],2))</f>
        <v>1973.9</v>
      </c>
    </row>
    <row r="68" spans="1:13" x14ac:dyDescent="0.25">
      <c r="A68" t="s">
        <v>31</v>
      </c>
      <c r="B68">
        <v>48099</v>
      </c>
      <c r="C68" s="34">
        <v>43390</v>
      </c>
      <c r="D68">
        <v>8050</v>
      </c>
      <c r="E68">
        <v>110</v>
      </c>
      <c r="G68">
        <v>60</v>
      </c>
      <c r="H68">
        <v>3600</v>
      </c>
      <c r="I68" s="57" t="str">
        <f>VLOOKUP(TableTemp[[#This Row],[Company ID]],MCompany[],2,FALSE)</f>
        <v>Lucas Basics</v>
      </c>
      <c r="J68" s="57" t="str">
        <f>VLOOKUP(TableTemp[[#This Row],[Customer code]],MCustomer[],2,FALSE)</f>
        <v>Aida GmbH</v>
      </c>
      <c r="K68" s="57" t="str">
        <f>VLOOKUP(TableTemp[[#This Row],[Article code]],MArticle[],2,FALSE)</f>
        <v>Smartphone case diamond</v>
      </c>
      <c r="L68" s="57" t="str">
        <f>VLOOKUP(TableTemp[[#This Row],[Company ID]],MCompany[],3,FALSE)</f>
        <v>EUR</v>
      </c>
      <c r="M68" s="57">
        <f>IF(TableTemp[[#This Row],[Currency]]="EUR",ROUND(VLOOKUP(MONTH(TableTemp[[#This Row],[Document Date]]),MExchange[],2,FALSE)*TableTemp[[#This Row],[Sales Local Currency]],2),ROUND(TableTemp[[#This Row],[Sales Local Currency]],2))</f>
        <v>4229.78</v>
      </c>
    </row>
    <row r="69" spans="1:13" x14ac:dyDescent="0.25">
      <c r="A69" t="s">
        <v>31</v>
      </c>
      <c r="B69">
        <v>48099</v>
      </c>
      <c r="C69" s="34">
        <v>43390</v>
      </c>
      <c r="D69">
        <v>8050</v>
      </c>
      <c r="E69">
        <v>111</v>
      </c>
      <c r="G69">
        <v>60</v>
      </c>
      <c r="H69">
        <v>1200</v>
      </c>
      <c r="I69" s="57" t="str">
        <f>VLOOKUP(TableTemp[[#This Row],[Company ID]],MCompany[],2,FALSE)</f>
        <v>Lucas Basics</v>
      </c>
      <c r="J69" s="57" t="str">
        <f>VLOOKUP(TableTemp[[#This Row],[Customer code]],MCustomer[],2,FALSE)</f>
        <v>Aida GmbH</v>
      </c>
      <c r="K69" s="57" t="str">
        <f>VLOOKUP(TableTemp[[#This Row],[Article code]],MArticle[],2,FALSE)</f>
        <v>Smartphone case simple</v>
      </c>
      <c r="L69" s="57" t="str">
        <f>VLOOKUP(TableTemp[[#This Row],[Company ID]],MCompany[],3,FALSE)</f>
        <v>EUR</v>
      </c>
      <c r="M69" s="57">
        <f>IF(TableTemp[[#This Row],[Currency]]="EUR",ROUND(VLOOKUP(MONTH(TableTemp[[#This Row],[Document Date]]),MExchange[],2,FALSE)*TableTemp[[#This Row],[Sales Local Currency]],2),ROUND(TableTemp[[#This Row],[Sales Local Currency]],2))</f>
        <v>1409.93</v>
      </c>
    </row>
    <row r="70" spans="1:13" x14ac:dyDescent="0.25">
      <c r="A70" t="s">
        <v>31</v>
      </c>
      <c r="B70">
        <v>48101</v>
      </c>
      <c r="C70" s="34">
        <v>43390</v>
      </c>
      <c r="D70">
        <v>8060</v>
      </c>
      <c r="E70">
        <v>109</v>
      </c>
      <c r="G70">
        <v>60</v>
      </c>
      <c r="H70">
        <v>1680</v>
      </c>
      <c r="I70" s="57" t="str">
        <f>VLOOKUP(TableTemp[[#This Row],[Company ID]],MCompany[],2,FALSE)</f>
        <v>Lucas Basics</v>
      </c>
      <c r="J70" s="57" t="str">
        <f>VLOOKUP(TableTemp[[#This Row],[Customer code]],MCustomer[],2,FALSE)</f>
        <v>Liebher</v>
      </c>
      <c r="K70" s="57" t="str">
        <f>VLOOKUP(TableTemp[[#This Row],[Article code]],MArticle[],2,FALSE)</f>
        <v>Laptop bag red</v>
      </c>
      <c r="L70" s="57" t="str">
        <f>VLOOKUP(TableTemp[[#This Row],[Company ID]],MCompany[],3,FALSE)</f>
        <v>EUR</v>
      </c>
      <c r="M70" s="57">
        <f>IF(TableTemp[[#This Row],[Currency]]="EUR",ROUND(VLOOKUP(MONTH(TableTemp[[#This Row],[Document Date]]),MExchange[],2,FALSE)*TableTemp[[#This Row],[Sales Local Currency]],2),ROUND(TableTemp[[#This Row],[Sales Local Currency]],2))</f>
        <v>1973.9</v>
      </c>
    </row>
    <row r="71" spans="1:13" x14ac:dyDescent="0.25">
      <c r="A71" t="s">
        <v>31</v>
      </c>
      <c r="B71">
        <v>48101</v>
      </c>
      <c r="C71" s="34">
        <v>43390</v>
      </c>
      <c r="D71">
        <v>8060</v>
      </c>
      <c r="E71">
        <v>110</v>
      </c>
      <c r="G71">
        <v>50</v>
      </c>
      <c r="H71">
        <v>3000</v>
      </c>
      <c r="I71" s="57" t="str">
        <f>VLOOKUP(TableTemp[[#This Row],[Company ID]],MCompany[],2,FALSE)</f>
        <v>Lucas Basics</v>
      </c>
      <c r="J71" s="57" t="str">
        <f>VLOOKUP(TableTemp[[#This Row],[Customer code]],MCustomer[],2,FALSE)</f>
        <v>Liebher</v>
      </c>
      <c r="K71" s="57" t="str">
        <f>VLOOKUP(TableTemp[[#This Row],[Article code]],MArticle[],2,FALSE)</f>
        <v>Smartphone case diamond</v>
      </c>
      <c r="L71" s="57" t="str">
        <f>VLOOKUP(TableTemp[[#This Row],[Company ID]],MCompany[],3,FALSE)</f>
        <v>EUR</v>
      </c>
      <c r="M71" s="57">
        <f>IF(TableTemp[[#This Row],[Currency]]="EUR",ROUND(VLOOKUP(MONTH(TableTemp[[#This Row],[Document Date]]),MExchange[],2,FALSE)*TableTemp[[#This Row],[Sales Local Currency]],2),ROUND(TableTemp[[#This Row],[Sales Local Currency]],2))</f>
        <v>3524.82</v>
      </c>
    </row>
    <row r="72" spans="1:13" x14ac:dyDescent="0.25">
      <c r="A72" t="s">
        <v>31</v>
      </c>
      <c r="B72">
        <v>45427</v>
      </c>
      <c r="C72" s="34">
        <v>43394</v>
      </c>
      <c r="D72">
        <v>8050</v>
      </c>
      <c r="E72">
        <v>108</v>
      </c>
      <c r="G72">
        <v>70</v>
      </c>
      <c r="H72">
        <v>1960</v>
      </c>
      <c r="I72" s="57" t="str">
        <f>VLOOKUP(TableTemp[[#This Row],[Company ID]],MCompany[],2,FALSE)</f>
        <v>Lucas Basics</v>
      </c>
      <c r="J72" s="57" t="str">
        <f>VLOOKUP(TableTemp[[#This Row],[Customer code]],MCustomer[],2,FALSE)</f>
        <v>Aida GmbH</v>
      </c>
      <c r="K72" s="57" t="str">
        <f>VLOOKUP(TableTemp[[#This Row],[Article code]],MArticle[],2,FALSE)</f>
        <v>Laptop bag black</v>
      </c>
      <c r="L72" s="57" t="str">
        <f>VLOOKUP(TableTemp[[#This Row],[Company ID]],MCompany[],3,FALSE)</f>
        <v>EUR</v>
      </c>
      <c r="M72" s="57">
        <f>IF(TableTemp[[#This Row],[Currency]]="EUR",ROUND(VLOOKUP(MONTH(TableTemp[[#This Row],[Document Date]]),MExchange[],2,FALSE)*TableTemp[[#This Row],[Sales Local Currency]],2),ROUND(TableTemp[[#This Row],[Sales Local Currency]],2))</f>
        <v>2302.88</v>
      </c>
    </row>
    <row r="73" spans="1:13" x14ac:dyDescent="0.25">
      <c r="A73" t="s">
        <v>31</v>
      </c>
      <c r="B73">
        <v>45427</v>
      </c>
      <c r="C73" s="34">
        <v>43394</v>
      </c>
      <c r="D73">
        <v>8050</v>
      </c>
      <c r="E73">
        <v>109</v>
      </c>
      <c r="G73">
        <v>60</v>
      </c>
      <c r="H73">
        <v>1680</v>
      </c>
      <c r="I73" s="57" t="str">
        <f>VLOOKUP(TableTemp[[#This Row],[Company ID]],MCompany[],2,FALSE)</f>
        <v>Lucas Basics</v>
      </c>
      <c r="J73" s="57" t="str">
        <f>VLOOKUP(TableTemp[[#This Row],[Customer code]],MCustomer[],2,FALSE)</f>
        <v>Aida GmbH</v>
      </c>
      <c r="K73" s="57" t="str">
        <f>VLOOKUP(TableTemp[[#This Row],[Article code]],MArticle[],2,FALSE)</f>
        <v>Laptop bag red</v>
      </c>
      <c r="L73" s="57" t="str">
        <f>VLOOKUP(TableTemp[[#This Row],[Company ID]],MCompany[],3,FALSE)</f>
        <v>EUR</v>
      </c>
      <c r="M73" s="57">
        <f>IF(TableTemp[[#This Row],[Currency]]="EUR",ROUND(VLOOKUP(MONTH(TableTemp[[#This Row],[Document Date]]),MExchange[],2,FALSE)*TableTemp[[#This Row],[Sales Local Currency]],2),ROUND(TableTemp[[#This Row],[Sales Local Currency]],2))</f>
        <v>1973.9</v>
      </c>
    </row>
    <row r="74" spans="1:13" x14ac:dyDescent="0.25">
      <c r="A74" t="s">
        <v>31</v>
      </c>
      <c r="B74">
        <v>45429</v>
      </c>
      <c r="C74" s="34">
        <v>43394</v>
      </c>
      <c r="D74">
        <v>8060</v>
      </c>
      <c r="E74">
        <v>108</v>
      </c>
      <c r="G74">
        <v>80</v>
      </c>
      <c r="H74">
        <v>2240</v>
      </c>
      <c r="I74" s="57" t="str">
        <f>VLOOKUP(TableTemp[[#This Row],[Company ID]],MCompany[],2,FALSE)</f>
        <v>Lucas Basics</v>
      </c>
      <c r="J74" s="57" t="str">
        <f>VLOOKUP(TableTemp[[#This Row],[Customer code]],MCustomer[],2,FALSE)</f>
        <v>Liebher</v>
      </c>
      <c r="K74" s="57" t="str">
        <f>VLOOKUP(TableTemp[[#This Row],[Article code]],MArticle[],2,FALSE)</f>
        <v>Laptop bag black</v>
      </c>
      <c r="L74" s="57" t="str">
        <f>VLOOKUP(TableTemp[[#This Row],[Company ID]],MCompany[],3,FALSE)</f>
        <v>EUR</v>
      </c>
      <c r="M74" s="57">
        <f>IF(TableTemp[[#This Row],[Currency]]="EUR",ROUND(VLOOKUP(MONTH(TableTemp[[#This Row],[Document Date]]),MExchange[],2,FALSE)*TableTemp[[#This Row],[Sales Local Currency]],2),ROUND(TableTemp[[#This Row],[Sales Local Currency]],2))</f>
        <v>2631.86</v>
      </c>
    </row>
    <row r="75" spans="1:13" x14ac:dyDescent="0.25">
      <c r="A75" t="s">
        <v>31</v>
      </c>
      <c r="B75">
        <v>45429</v>
      </c>
      <c r="C75" s="34">
        <v>43394</v>
      </c>
      <c r="D75">
        <v>8060</v>
      </c>
      <c r="E75">
        <v>109</v>
      </c>
      <c r="F75">
        <v>2</v>
      </c>
      <c r="G75">
        <v>80</v>
      </c>
      <c r="H75">
        <v>2240</v>
      </c>
      <c r="I75" s="57" t="str">
        <f>VLOOKUP(TableTemp[[#This Row],[Company ID]],MCompany[],2,FALSE)</f>
        <v>Lucas Basics</v>
      </c>
      <c r="J75" s="57" t="str">
        <f>VLOOKUP(TableTemp[[#This Row],[Customer code]],MCustomer[],2,FALSE)</f>
        <v>Liebher</v>
      </c>
      <c r="K75" s="57" t="str">
        <f>VLOOKUP(TableTemp[[#This Row],[Article code]],MArticle[],2,FALSE)</f>
        <v>Laptop bag red</v>
      </c>
      <c r="L75" s="57" t="str">
        <f>VLOOKUP(TableTemp[[#This Row],[Company ID]],MCompany[],3,FALSE)</f>
        <v>EUR</v>
      </c>
      <c r="M75" s="57">
        <f>IF(TableTemp[[#This Row],[Currency]]="EUR",ROUND(VLOOKUP(MONTH(TableTemp[[#This Row],[Document Date]]),MExchange[],2,FALSE)*TableTemp[[#This Row],[Sales Local Currency]],2),ROUND(TableTemp[[#This Row],[Sales Local Currency]],2))</f>
        <v>2631.86</v>
      </c>
    </row>
    <row r="76" spans="1:13" x14ac:dyDescent="0.25">
      <c r="A76" t="s">
        <v>31</v>
      </c>
      <c r="B76">
        <v>45429</v>
      </c>
      <c r="C76" s="34">
        <v>43394</v>
      </c>
      <c r="D76">
        <v>8060</v>
      </c>
      <c r="E76">
        <v>110</v>
      </c>
      <c r="G76">
        <v>50</v>
      </c>
      <c r="H76">
        <v>3000</v>
      </c>
      <c r="I76" s="57" t="str">
        <f>VLOOKUP(TableTemp[[#This Row],[Company ID]],MCompany[],2,FALSE)</f>
        <v>Lucas Basics</v>
      </c>
      <c r="J76" s="57" t="str">
        <f>VLOOKUP(TableTemp[[#This Row],[Customer code]],MCustomer[],2,FALSE)</f>
        <v>Liebher</v>
      </c>
      <c r="K76" s="57" t="str">
        <f>VLOOKUP(TableTemp[[#This Row],[Article code]],MArticle[],2,FALSE)</f>
        <v>Smartphone case diamond</v>
      </c>
      <c r="L76" s="57" t="str">
        <f>VLOOKUP(TableTemp[[#This Row],[Company ID]],MCompany[],3,FALSE)</f>
        <v>EUR</v>
      </c>
      <c r="M76" s="57">
        <f>IF(TableTemp[[#This Row],[Currency]]="EUR",ROUND(VLOOKUP(MONTH(TableTemp[[#This Row],[Document Date]]),MExchange[],2,FALSE)*TableTemp[[#This Row],[Sales Local Currency]],2),ROUND(TableTemp[[#This Row],[Sales Local Currency]],2))</f>
        <v>3524.82</v>
      </c>
    </row>
    <row r="77" spans="1:13" x14ac:dyDescent="0.25">
      <c r="A77" t="s">
        <v>31</v>
      </c>
      <c r="B77">
        <v>45431</v>
      </c>
      <c r="C77" s="34">
        <v>43394</v>
      </c>
      <c r="D77">
        <v>8050</v>
      </c>
      <c r="E77">
        <v>111</v>
      </c>
      <c r="G77">
        <v>60</v>
      </c>
      <c r="H77">
        <v>1200</v>
      </c>
      <c r="I77" s="57" t="str">
        <f>VLOOKUP(TableTemp[[#This Row],[Company ID]],MCompany[],2,FALSE)</f>
        <v>Lucas Basics</v>
      </c>
      <c r="J77" s="57" t="str">
        <f>VLOOKUP(TableTemp[[#This Row],[Customer code]],MCustomer[],2,FALSE)</f>
        <v>Aida GmbH</v>
      </c>
      <c r="K77" s="57" t="str">
        <f>VLOOKUP(TableTemp[[#This Row],[Article code]],MArticle[],2,FALSE)</f>
        <v>Smartphone case simple</v>
      </c>
      <c r="L77" s="57" t="str">
        <f>VLOOKUP(TableTemp[[#This Row],[Company ID]],MCompany[],3,FALSE)</f>
        <v>EUR</v>
      </c>
      <c r="M77" s="57">
        <f>IF(TableTemp[[#This Row],[Currency]]="EUR",ROUND(VLOOKUP(MONTH(TableTemp[[#This Row],[Document Date]]),MExchange[],2,FALSE)*TableTemp[[#This Row],[Sales Local Currency]],2),ROUND(TableTemp[[#This Row],[Sales Local Currency]],2))</f>
        <v>1409.93</v>
      </c>
    </row>
    <row r="78" spans="1:13" x14ac:dyDescent="0.25">
      <c r="A78" t="s">
        <v>31</v>
      </c>
      <c r="B78">
        <v>45431</v>
      </c>
      <c r="C78" s="34">
        <v>43394</v>
      </c>
      <c r="D78">
        <v>8050</v>
      </c>
      <c r="E78">
        <v>108</v>
      </c>
      <c r="G78">
        <v>60</v>
      </c>
      <c r="H78">
        <v>1680</v>
      </c>
      <c r="I78" s="57" t="str">
        <f>VLOOKUP(TableTemp[[#This Row],[Company ID]],MCompany[],2,FALSE)</f>
        <v>Lucas Basics</v>
      </c>
      <c r="J78" s="57" t="str">
        <f>VLOOKUP(TableTemp[[#This Row],[Customer code]],MCustomer[],2,FALSE)</f>
        <v>Aida GmbH</v>
      </c>
      <c r="K78" s="57" t="str">
        <f>VLOOKUP(TableTemp[[#This Row],[Article code]],MArticle[],2,FALSE)</f>
        <v>Laptop bag black</v>
      </c>
      <c r="L78" s="57" t="str">
        <f>VLOOKUP(TableTemp[[#This Row],[Company ID]],MCompany[],3,FALSE)</f>
        <v>EUR</v>
      </c>
      <c r="M78" s="57">
        <f>IF(TableTemp[[#This Row],[Currency]]="EUR",ROUND(VLOOKUP(MONTH(TableTemp[[#This Row],[Document Date]]),MExchange[],2,FALSE)*TableTemp[[#This Row],[Sales Local Currency]],2),ROUND(TableTemp[[#This Row],[Sales Local Currency]],2))</f>
        <v>1973.9</v>
      </c>
    </row>
  </sheetData>
  <pageMargins left="0.7" right="0.7" top="0.75" bottom="0.75" header="0.3" footer="0.3"/>
  <drawing r:id="rId6"/>
  <tableParts count="1">
    <tablePart r:id="rId7"/>
  </tableParts>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NewDat"/>
  <dimension ref="A1:H141"/>
  <sheetViews>
    <sheetView workbookViewId="0">
      <selection activeCell="B100" sqref="B100:I141"/>
    </sheetView>
  </sheetViews>
  <sheetFormatPr defaultRowHeight="13.2" x14ac:dyDescent="0.25"/>
  <cols>
    <col min="1" max="1" width="25.5546875" customWidth="1"/>
    <col min="2" max="2" width="18.77734375" customWidth="1"/>
    <col min="3" max="3" width="20.109375" customWidth="1"/>
    <col min="4" max="4" width="17.88671875" customWidth="1"/>
    <col min="5" max="5" width="17.77734375" customWidth="1"/>
    <col min="6" max="6" width="14.5546875" customWidth="1"/>
    <col min="7" max="7" width="11.109375" customWidth="1"/>
    <col min="8" max="8" width="14.33203125" customWidth="1"/>
    <col min="9" max="9" width="14.77734375" customWidth="1"/>
  </cols>
  <sheetData>
    <row r="1" spans="1:8" ht="13.8" x14ac:dyDescent="0.25">
      <c r="A1" s="23" t="s">
        <v>120</v>
      </c>
      <c r="B1" s="23" t="s">
        <v>2</v>
      </c>
      <c r="C1" s="24" t="s">
        <v>40</v>
      </c>
      <c r="D1" s="24" t="s">
        <v>49</v>
      </c>
      <c r="E1" s="25" t="s">
        <v>52</v>
      </c>
      <c r="F1" s="25" t="s">
        <v>43</v>
      </c>
      <c r="G1" s="25" t="s">
        <v>41</v>
      </c>
      <c r="H1" s="23" t="s">
        <v>42</v>
      </c>
    </row>
    <row r="2" spans="1:8" x14ac:dyDescent="0.25">
      <c r="A2" t="s">
        <v>30</v>
      </c>
      <c r="B2" s="26">
        <v>84030</v>
      </c>
      <c r="C2" s="27">
        <v>43380</v>
      </c>
      <c r="D2" s="28">
        <v>8050</v>
      </c>
      <c r="E2" s="28">
        <v>120</v>
      </c>
      <c r="F2" s="29" t="s">
        <v>89</v>
      </c>
      <c r="G2" s="30">
        <v>120</v>
      </c>
      <c r="H2" s="29">
        <v>6960</v>
      </c>
    </row>
    <row r="3" spans="1:8" x14ac:dyDescent="0.25">
      <c r="A3" t="s">
        <v>30</v>
      </c>
      <c r="B3" s="31">
        <v>84030</v>
      </c>
      <c r="C3" s="27">
        <v>43380</v>
      </c>
      <c r="D3" s="28">
        <v>8050</v>
      </c>
      <c r="E3" s="32">
        <v>104</v>
      </c>
      <c r="F3" s="30">
        <v>1</v>
      </c>
      <c r="G3" s="30">
        <v>430</v>
      </c>
      <c r="H3" s="29">
        <v>5160</v>
      </c>
    </row>
    <row r="4" spans="1:8" x14ac:dyDescent="0.25">
      <c r="A4" t="s">
        <v>30</v>
      </c>
      <c r="B4" s="31">
        <v>84030</v>
      </c>
      <c r="C4" s="27">
        <v>43380</v>
      </c>
      <c r="D4" s="28">
        <v>8050</v>
      </c>
      <c r="E4" s="32">
        <v>105</v>
      </c>
      <c r="F4" s="30" t="s">
        <v>89</v>
      </c>
      <c r="G4" s="30">
        <v>120</v>
      </c>
      <c r="H4" s="29">
        <v>1200</v>
      </c>
    </row>
    <row r="5" spans="1:8" x14ac:dyDescent="0.25">
      <c r="A5" t="s">
        <v>30</v>
      </c>
      <c r="B5" s="31">
        <v>84030</v>
      </c>
      <c r="C5" s="27">
        <v>43380</v>
      </c>
      <c r="D5" s="28">
        <v>8050</v>
      </c>
      <c r="E5" s="32">
        <v>107</v>
      </c>
      <c r="F5" s="30">
        <v>1</v>
      </c>
      <c r="G5" s="30">
        <v>690</v>
      </c>
      <c r="H5" s="29">
        <v>3450</v>
      </c>
    </row>
    <row r="6" spans="1:8" x14ac:dyDescent="0.25">
      <c r="A6" t="s">
        <v>30</v>
      </c>
      <c r="B6" s="31">
        <v>84031</v>
      </c>
      <c r="C6" s="27">
        <v>43381</v>
      </c>
      <c r="D6" s="32">
        <v>8040</v>
      </c>
      <c r="E6" s="32">
        <v>104</v>
      </c>
      <c r="F6" s="30" t="s">
        <v>89</v>
      </c>
      <c r="G6" s="30">
        <v>870</v>
      </c>
      <c r="H6" s="29">
        <v>10440</v>
      </c>
    </row>
    <row r="7" spans="1:8" x14ac:dyDescent="0.25">
      <c r="A7" t="s">
        <v>30</v>
      </c>
      <c r="B7" s="31">
        <v>84031</v>
      </c>
      <c r="C7" s="27">
        <v>43381</v>
      </c>
      <c r="D7" s="32">
        <v>8040</v>
      </c>
      <c r="E7" s="32">
        <v>107</v>
      </c>
      <c r="F7" s="30" t="s">
        <v>89</v>
      </c>
      <c r="G7" s="30">
        <v>760</v>
      </c>
      <c r="H7" s="29">
        <v>3800</v>
      </c>
    </row>
    <row r="8" spans="1:8" x14ac:dyDescent="0.25">
      <c r="A8" t="s">
        <v>30</v>
      </c>
      <c r="B8" s="31">
        <v>84031</v>
      </c>
      <c r="C8" s="27">
        <v>43381</v>
      </c>
      <c r="D8" s="32">
        <v>8040</v>
      </c>
      <c r="E8" s="32">
        <v>110</v>
      </c>
      <c r="F8" s="30">
        <v>2</v>
      </c>
      <c r="G8" s="30">
        <v>500</v>
      </c>
      <c r="H8" s="29">
        <v>30000</v>
      </c>
    </row>
    <row r="9" spans="1:8" x14ac:dyDescent="0.25">
      <c r="A9" t="s">
        <v>30</v>
      </c>
      <c r="B9" s="31">
        <v>88112</v>
      </c>
      <c r="C9" s="27">
        <v>43384</v>
      </c>
      <c r="D9" s="32">
        <v>8040</v>
      </c>
      <c r="E9" s="32">
        <v>110</v>
      </c>
      <c r="F9" s="30"/>
      <c r="G9" s="30">
        <v>480</v>
      </c>
      <c r="H9" s="29">
        <v>28800</v>
      </c>
    </row>
    <row r="10" spans="1:8" x14ac:dyDescent="0.25">
      <c r="A10" t="s">
        <v>30</v>
      </c>
      <c r="B10" s="31">
        <v>88112</v>
      </c>
      <c r="C10" s="27">
        <v>43384</v>
      </c>
      <c r="D10" s="32">
        <v>8040</v>
      </c>
      <c r="E10" s="32">
        <v>119</v>
      </c>
      <c r="F10" s="30" t="s">
        <v>89</v>
      </c>
      <c r="G10" s="30">
        <v>630</v>
      </c>
      <c r="H10" s="29">
        <v>39060</v>
      </c>
    </row>
    <row r="11" spans="1:8" x14ac:dyDescent="0.25">
      <c r="A11" t="s">
        <v>30</v>
      </c>
      <c r="B11" s="31">
        <v>88112</v>
      </c>
      <c r="C11" s="27">
        <v>43384</v>
      </c>
      <c r="D11" s="32">
        <v>8040</v>
      </c>
      <c r="E11" s="32">
        <v>120</v>
      </c>
      <c r="F11" s="30"/>
      <c r="G11" s="30">
        <v>150</v>
      </c>
      <c r="H11" s="29">
        <v>8700</v>
      </c>
    </row>
    <row r="12" spans="1:8" x14ac:dyDescent="0.25">
      <c r="A12" t="s">
        <v>30</v>
      </c>
      <c r="B12" s="31">
        <v>88112</v>
      </c>
      <c r="C12" s="27">
        <v>43384</v>
      </c>
      <c r="D12" s="32">
        <v>8040</v>
      </c>
      <c r="E12" s="32">
        <v>116</v>
      </c>
      <c r="F12" s="30">
        <v>4</v>
      </c>
      <c r="G12" s="30">
        <v>760</v>
      </c>
      <c r="H12" s="29">
        <v>4560</v>
      </c>
    </row>
    <row r="13" spans="1:8" x14ac:dyDescent="0.25">
      <c r="A13" t="s">
        <v>30</v>
      </c>
      <c r="B13" s="31">
        <v>88112</v>
      </c>
      <c r="C13" s="27">
        <v>43384</v>
      </c>
      <c r="D13" s="32">
        <v>8040</v>
      </c>
      <c r="E13" s="32">
        <v>111</v>
      </c>
      <c r="F13" s="30"/>
      <c r="G13" s="30">
        <v>590</v>
      </c>
      <c r="H13" s="29">
        <v>11800</v>
      </c>
    </row>
    <row r="14" spans="1:8" x14ac:dyDescent="0.25">
      <c r="A14" t="s">
        <v>30</v>
      </c>
      <c r="B14" s="31">
        <v>88112</v>
      </c>
      <c r="C14" s="27">
        <v>43384</v>
      </c>
      <c r="D14" s="32">
        <v>8040</v>
      </c>
      <c r="E14" s="32">
        <v>110</v>
      </c>
      <c r="F14" s="30"/>
      <c r="G14" s="30">
        <v>530</v>
      </c>
      <c r="H14" s="29">
        <v>31800</v>
      </c>
    </row>
    <row r="15" spans="1:8" x14ac:dyDescent="0.25">
      <c r="A15" t="s">
        <v>30</v>
      </c>
      <c r="B15" s="31">
        <v>88112</v>
      </c>
      <c r="C15" s="27">
        <v>43384</v>
      </c>
      <c r="D15" s="32">
        <v>8040</v>
      </c>
      <c r="E15" s="32">
        <v>109</v>
      </c>
      <c r="F15" s="30"/>
      <c r="G15" s="30">
        <v>260</v>
      </c>
      <c r="H15" s="29">
        <v>7280</v>
      </c>
    </row>
    <row r="16" spans="1:8" x14ac:dyDescent="0.25">
      <c r="A16" t="s">
        <v>30</v>
      </c>
      <c r="B16" s="31">
        <v>85442</v>
      </c>
      <c r="C16" s="27">
        <v>43388</v>
      </c>
      <c r="D16" s="28">
        <v>8050</v>
      </c>
      <c r="E16" s="32">
        <v>107</v>
      </c>
      <c r="F16" s="30"/>
      <c r="G16" s="30">
        <v>270</v>
      </c>
      <c r="H16" s="29">
        <v>1350</v>
      </c>
    </row>
    <row r="17" spans="1:8" x14ac:dyDescent="0.25">
      <c r="A17" t="s">
        <v>30</v>
      </c>
      <c r="B17" s="31">
        <v>85442</v>
      </c>
      <c r="C17" s="27">
        <v>43388</v>
      </c>
      <c r="D17" s="28">
        <v>8050</v>
      </c>
      <c r="E17" s="32">
        <v>103</v>
      </c>
      <c r="F17" s="30"/>
      <c r="G17" s="30">
        <v>630</v>
      </c>
      <c r="H17" s="29">
        <v>7560</v>
      </c>
    </row>
    <row r="18" spans="1:8" x14ac:dyDescent="0.25">
      <c r="A18" t="s">
        <v>30</v>
      </c>
      <c r="B18" s="31">
        <v>85442</v>
      </c>
      <c r="C18" s="27">
        <v>43388</v>
      </c>
      <c r="D18" s="28">
        <v>8050</v>
      </c>
      <c r="E18" s="32">
        <v>104</v>
      </c>
      <c r="F18" s="30"/>
      <c r="G18" s="30">
        <v>440</v>
      </c>
      <c r="H18" s="29">
        <v>5280</v>
      </c>
    </row>
    <row r="19" spans="1:8" x14ac:dyDescent="0.25">
      <c r="A19" t="s">
        <v>30</v>
      </c>
      <c r="B19" s="31">
        <v>85442</v>
      </c>
      <c r="C19" s="27">
        <v>43388</v>
      </c>
      <c r="D19" s="28">
        <v>8050</v>
      </c>
      <c r="E19" s="32">
        <v>120</v>
      </c>
      <c r="F19" s="30"/>
      <c r="G19" s="30">
        <v>500</v>
      </c>
      <c r="H19" s="29">
        <v>29000</v>
      </c>
    </row>
    <row r="20" spans="1:8" x14ac:dyDescent="0.25">
      <c r="A20" t="s">
        <v>30</v>
      </c>
      <c r="B20" s="31">
        <v>85442</v>
      </c>
      <c r="C20" s="27">
        <v>43388</v>
      </c>
      <c r="D20" s="28">
        <v>8050</v>
      </c>
      <c r="E20" s="32">
        <v>119</v>
      </c>
      <c r="F20" s="30">
        <v>1</v>
      </c>
      <c r="G20" s="30">
        <v>360</v>
      </c>
      <c r="H20" s="29">
        <v>22320</v>
      </c>
    </row>
    <row r="21" spans="1:8" x14ac:dyDescent="0.25">
      <c r="A21" t="s">
        <v>30</v>
      </c>
      <c r="B21" s="31">
        <v>85442</v>
      </c>
      <c r="C21" s="27">
        <v>43388</v>
      </c>
      <c r="D21" s="28">
        <v>8050</v>
      </c>
      <c r="E21" s="32">
        <v>115</v>
      </c>
      <c r="F21" s="30"/>
      <c r="G21" s="30">
        <v>810</v>
      </c>
      <c r="H21" s="29">
        <v>4860</v>
      </c>
    </row>
    <row r="22" spans="1:8" x14ac:dyDescent="0.25">
      <c r="A22" t="s">
        <v>30</v>
      </c>
      <c r="B22" s="31">
        <v>85442</v>
      </c>
      <c r="C22" s="27">
        <v>43388</v>
      </c>
      <c r="D22" s="28">
        <v>8050</v>
      </c>
      <c r="E22" s="32">
        <v>108</v>
      </c>
      <c r="F22" s="30"/>
      <c r="G22" s="30">
        <v>800</v>
      </c>
      <c r="H22" s="29">
        <v>22400</v>
      </c>
    </row>
    <row r="23" spans="1:8" x14ac:dyDescent="0.25">
      <c r="A23" t="s">
        <v>30</v>
      </c>
      <c r="B23" s="31">
        <v>88588</v>
      </c>
      <c r="C23" s="27">
        <v>43388</v>
      </c>
      <c r="D23" s="32">
        <v>8040</v>
      </c>
      <c r="E23" s="32">
        <v>120</v>
      </c>
      <c r="F23" s="30"/>
      <c r="G23" s="30">
        <v>470</v>
      </c>
      <c r="H23" s="29">
        <v>27260</v>
      </c>
    </row>
    <row r="24" spans="1:8" x14ac:dyDescent="0.25">
      <c r="A24" t="s">
        <v>30</v>
      </c>
      <c r="B24" s="31">
        <v>88588</v>
      </c>
      <c r="C24" s="27">
        <v>43388</v>
      </c>
      <c r="D24" s="32">
        <v>8040</v>
      </c>
      <c r="E24" s="32">
        <v>119</v>
      </c>
      <c r="F24" s="30"/>
      <c r="G24" s="30">
        <v>860</v>
      </c>
      <c r="H24" s="29">
        <v>53320</v>
      </c>
    </row>
    <row r="25" spans="1:8" x14ac:dyDescent="0.25">
      <c r="A25" t="s">
        <v>30</v>
      </c>
      <c r="B25" s="31">
        <v>88588</v>
      </c>
      <c r="C25" s="27">
        <v>43388</v>
      </c>
      <c r="D25" s="32">
        <v>8040</v>
      </c>
      <c r="E25" s="32">
        <v>110</v>
      </c>
      <c r="F25" s="30"/>
      <c r="G25" s="30">
        <v>180</v>
      </c>
      <c r="H25" s="29">
        <v>10800</v>
      </c>
    </row>
    <row r="26" spans="1:8" x14ac:dyDescent="0.25">
      <c r="A26" t="s">
        <v>30</v>
      </c>
      <c r="B26" s="31">
        <v>88588</v>
      </c>
      <c r="C26" s="27">
        <v>43388</v>
      </c>
      <c r="D26" s="32">
        <v>8040</v>
      </c>
      <c r="E26" s="32">
        <v>111</v>
      </c>
      <c r="F26" s="30"/>
      <c r="G26" s="30">
        <v>750</v>
      </c>
      <c r="H26" s="29">
        <v>15000</v>
      </c>
    </row>
    <row r="27" spans="1:8" x14ac:dyDescent="0.25">
      <c r="A27" t="s">
        <v>30</v>
      </c>
      <c r="B27" s="31">
        <v>88588</v>
      </c>
      <c r="C27" s="27">
        <v>43388</v>
      </c>
      <c r="D27" s="32">
        <v>8040</v>
      </c>
      <c r="E27" s="32">
        <v>109</v>
      </c>
      <c r="F27" s="30"/>
      <c r="G27" s="30">
        <v>560</v>
      </c>
      <c r="H27" s="29">
        <v>15680</v>
      </c>
    </row>
    <row r="28" spans="1:8" x14ac:dyDescent="0.25">
      <c r="A28" t="s">
        <v>30</v>
      </c>
      <c r="B28" s="31">
        <v>88588</v>
      </c>
      <c r="C28" s="27">
        <v>43388</v>
      </c>
      <c r="D28" s="32">
        <v>8040</v>
      </c>
      <c r="E28" s="32">
        <v>105</v>
      </c>
      <c r="F28" s="30"/>
      <c r="G28" s="30">
        <v>130</v>
      </c>
      <c r="H28" s="29">
        <v>1300</v>
      </c>
    </row>
    <row r="29" spans="1:8" x14ac:dyDescent="0.25">
      <c r="A29" t="s">
        <v>30</v>
      </c>
      <c r="B29" s="31">
        <v>88588</v>
      </c>
      <c r="C29" s="27">
        <v>43388</v>
      </c>
      <c r="D29" s="32">
        <v>8040</v>
      </c>
      <c r="E29" s="32">
        <v>103</v>
      </c>
      <c r="F29" s="30"/>
      <c r="G29" s="30">
        <v>110</v>
      </c>
      <c r="H29" s="29">
        <v>1320</v>
      </c>
    </row>
    <row r="30" spans="1:8" x14ac:dyDescent="0.25">
      <c r="A30" t="s">
        <v>30</v>
      </c>
      <c r="B30" s="31">
        <v>88544</v>
      </c>
      <c r="C30" s="27">
        <v>43395</v>
      </c>
      <c r="D30" s="32">
        <v>8040</v>
      </c>
      <c r="E30" s="32">
        <v>107</v>
      </c>
      <c r="F30" s="30"/>
      <c r="G30" s="30">
        <v>770</v>
      </c>
      <c r="H30" s="29">
        <v>3850</v>
      </c>
    </row>
    <row r="31" spans="1:8" x14ac:dyDescent="0.25">
      <c r="A31" t="s">
        <v>30</v>
      </c>
      <c r="B31" s="31">
        <v>88544</v>
      </c>
      <c r="C31" s="27">
        <v>43395</v>
      </c>
      <c r="D31" s="32">
        <v>8040</v>
      </c>
      <c r="E31" s="32">
        <v>120</v>
      </c>
      <c r="F31" s="30"/>
      <c r="G31" s="30">
        <v>300</v>
      </c>
      <c r="H31" s="29">
        <v>17400</v>
      </c>
    </row>
    <row r="32" spans="1:8" x14ac:dyDescent="0.25">
      <c r="A32" t="s">
        <v>30</v>
      </c>
      <c r="B32" s="31">
        <v>88666</v>
      </c>
      <c r="C32" s="27">
        <v>43399</v>
      </c>
      <c r="D32" s="32">
        <v>8030</v>
      </c>
      <c r="E32" s="32">
        <v>119</v>
      </c>
      <c r="F32" s="30"/>
      <c r="G32" s="30">
        <v>330</v>
      </c>
      <c r="H32" s="29">
        <v>20460</v>
      </c>
    </row>
    <row r="33" spans="1:8" x14ac:dyDescent="0.25">
      <c r="A33" t="s">
        <v>30</v>
      </c>
      <c r="B33" s="31">
        <v>88666</v>
      </c>
      <c r="C33" s="27">
        <v>43399</v>
      </c>
      <c r="D33" s="32">
        <v>8030</v>
      </c>
      <c r="E33" s="32">
        <v>107</v>
      </c>
      <c r="F33" s="30"/>
      <c r="G33" s="30">
        <v>460</v>
      </c>
      <c r="H33" s="29">
        <v>2300</v>
      </c>
    </row>
    <row r="34" spans="1:8" x14ac:dyDescent="0.25">
      <c r="A34" t="s">
        <v>30</v>
      </c>
      <c r="B34" s="31">
        <v>88666</v>
      </c>
      <c r="C34" s="27">
        <v>43399</v>
      </c>
      <c r="D34" s="32">
        <v>8030</v>
      </c>
      <c r="E34" s="32">
        <v>105</v>
      </c>
      <c r="F34" s="30">
        <v>1</v>
      </c>
      <c r="G34" s="30">
        <v>470</v>
      </c>
      <c r="H34" s="29">
        <v>4700</v>
      </c>
    </row>
    <row r="35" spans="1:8" x14ac:dyDescent="0.25">
      <c r="A35" t="s">
        <v>30</v>
      </c>
      <c r="B35" s="31">
        <v>88666</v>
      </c>
      <c r="C35" s="27">
        <v>43399</v>
      </c>
      <c r="D35" s="32">
        <v>8030</v>
      </c>
      <c r="E35" s="32">
        <v>115</v>
      </c>
      <c r="F35" s="30"/>
      <c r="G35" s="30">
        <v>390</v>
      </c>
      <c r="H35" s="29">
        <v>2340</v>
      </c>
    </row>
    <row r="36" spans="1:8" x14ac:dyDescent="0.25">
      <c r="A36" t="s">
        <v>30</v>
      </c>
      <c r="B36" s="31">
        <v>88666</v>
      </c>
      <c r="C36" s="27">
        <v>43399</v>
      </c>
      <c r="D36" s="32">
        <v>8030</v>
      </c>
      <c r="E36" s="32">
        <v>116</v>
      </c>
      <c r="F36" s="30"/>
      <c r="G36" s="30">
        <v>260</v>
      </c>
      <c r="H36" s="29">
        <v>1560</v>
      </c>
    </row>
    <row r="37" spans="1:8" x14ac:dyDescent="0.25">
      <c r="A37" t="s">
        <v>31</v>
      </c>
      <c r="B37" s="26">
        <v>44030</v>
      </c>
      <c r="C37" s="27">
        <v>43377</v>
      </c>
      <c r="D37" s="28">
        <v>8060</v>
      </c>
      <c r="E37" s="28">
        <v>108</v>
      </c>
      <c r="F37" s="29" t="s">
        <v>89</v>
      </c>
      <c r="G37" s="30">
        <v>60</v>
      </c>
      <c r="H37" s="29">
        <v>1680</v>
      </c>
    </row>
    <row r="38" spans="1:8" x14ac:dyDescent="0.25">
      <c r="A38" t="s">
        <v>31</v>
      </c>
      <c r="B38" s="31">
        <v>44030</v>
      </c>
      <c r="C38" s="27">
        <v>43377</v>
      </c>
      <c r="D38" s="28">
        <v>8060</v>
      </c>
      <c r="E38" s="32">
        <v>109</v>
      </c>
      <c r="F38" s="30">
        <v>1</v>
      </c>
      <c r="G38" s="30">
        <v>60</v>
      </c>
      <c r="H38" s="29">
        <v>1680</v>
      </c>
    </row>
    <row r="39" spans="1:8" x14ac:dyDescent="0.25">
      <c r="A39" t="s">
        <v>31</v>
      </c>
      <c r="B39" s="31">
        <v>44032</v>
      </c>
      <c r="C39" s="27">
        <v>43380</v>
      </c>
      <c r="D39" s="28">
        <v>8060</v>
      </c>
      <c r="E39" s="28">
        <v>108</v>
      </c>
      <c r="F39" s="30" t="s">
        <v>89</v>
      </c>
      <c r="G39" s="30">
        <v>60</v>
      </c>
      <c r="H39" s="29">
        <v>1680</v>
      </c>
    </row>
    <row r="40" spans="1:8" x14ac:dyDescent="0.25">
      <c r="A40" t="s">
        <v>31</v>
      </c>
      <c r="B40" s="31">
        <v>44032</v>
      </c>
      <c r="C40" s="27">
        <v>43380</v>
      </c>
      <c r="D40" s="28">
        <v>8060</v>
      </c>
      <c r="E40" s="32">
        <v>109</v>
      </c>
      <c r="F40" s="30"/>
      <c r="G40" s="30">
        <v>70</v>
      </c>
      <c r="H40" s="29">
        <v>1960</v>
      </c>
    </row>
    <row r="41" spans="1:8" x14ac:dyDescent="0.25">
      <c r="A41" t="s">
        <v>31</v>
      </c>
      <c r="B41" s="31">
        <v>44031</v>
      </c>
      <c r="C41" s="27">
        <v>43381</v>
      </c>
      <c r="D41" s="28">
        <v>8050</v>
      </c>
      <c r="E41" s="28">
        <v>108</v>
      </c>
      <c r="F41" s="30" t="s">
        <v>89</v>
      </c>
      <c r="G41" s="30">
        <v>60</v>
      </c>
      <c r="H41" s="29">
        <v>1680</v>
      </c>
    </row>
    <row r="42" spans="1:8" x14ac:dyDescent="0.25">
      <c r="A42" t="s">
        <v>31</v>
      </c>
      <c r="B42" s="31">
        <v>44031</v>
      </c>
      <c r="C42" s="27">
        <v>43381</v>
      </c>
      <c r="D42" s="28">
        <v>8050</v>
      </c>
      <c r="E42" s="32">
        <v>109</v>
      </c>
      <c r="F42" s="30" t="s">
        <v>89</v>
      </c>
      <c r="G42" s="30">
        <v>50</v>
      </c>
      <c r="H42" s="29">
        <v>1400</v>
      </c>
    </row>
    <row r="43" spans="1:8" x14ac:dyDescent="0.25">
      <c r="A43" t="s">
        <v>31</v>
      </c>
      <c r="B43" s="31">
        <v>44031</v>
      </c>
      <c r="C43" s="27">
        <v>43381</v>
      </c>
      <c r="D43" s="28">
        <v>8050</v>
      </c>
      <c r="E43" s="32">
        <v>110</v>
      </c>
      <c r="F43" s="30" t="s">
        <v>89</v>
      </c>
      <c r="G43" s="30">
        <v>60</v>
      </c>
      <c r="H43" s="29">
        <v>3600</v>
      </c>
    </row>
    <row r="44" spans="1:8" x14ac:dyDescent="0.25">
      <c r="A44" t="s">
        <v>31</v>
      </c>
      <c r="B44" s="31">
        <v>48112</v>
      </c>
      <c r="C44" s="27">
        <v>43384</v>
      </c>
      <c r="D44" s="28">
        <v>8060</v>
      </c>
      <c r="E44" s="32">
        <v>109</v>
      </c>
      <c r="F44" s="30"/>
      <c r="G44" s="30">
        <v>60</v>
      </c>
      <c r="H44" s="29">
        <v>1680</v>
      </c>
    </row>
    <row r="45" spans="1:8" x14ac:dyDescent="0.25">
      <c r="A45" t="s">
        <v>31</v>
      </c>
      <c r="B45" s="31">
        <v>48112</v>
      </c>
      <c r="C45" s="27">
        <v>43384</v>
      </c>
      <c r="D45" s="28">
        <v>8060</v>
      </c>
      <c r="E45" s="32">
        <v>110</v>
      </c>
      <c r="F45" s="30" t="s">
        <v>89</v>
      </c>
      <c r="G45" s="30">
        <v>50</v>
      </c>
      <c r="H45" s="29">
        <v>3000</v>
      </c>
    </row>
    <row r="46" spans="1:8" x14ac:dyDescent="0.25">
      <c r="A46" t="s">
        <v>31</v>
      </c>
      <c r="B46" s="31">
        <v>48114</v>
      </c>
      <c r="C46" s="27">
        <v>43384</v>
      </c>
      <c r="D46" s="28">
        <v>8050</v>
      </c>
      <c r="E46" s="32">
        <v>109</v>
      </c>
      <c r="F46" s="30"/>
      <c r="G46" s="30">
        <v>60</v>
      </c>
      <c r="H46" s="29">
        <v>1680</v>
      </c>
    </row>
    <row r="47" spans="1:8" x14ac:dyDescent="0.25">
      <c r="A47" t="s">
        <v>31</v>
      </c>
      <c r="B47" s="31">
        <v>48114</v>
      </c>
      <c r="C47" s="27">
        <v>43384</v>
      </c>
      <c r="D47" s="28">
        <v>8050</v>
      </c>
      <c r="E47" s="32">
        <v>110</v>
      </c>
      <c r="F47" s="30"/>
      <c r="G47" s="30">
        <v>60</v>
      </c>
      <c r="H47" s="29">
        <v>3600</v>
      </c>
    </row>
    <row r="48" spans="1:8" x14ac:dyDescent="0.25">
      <c r="A48" t="s">
        <v>31</v>
      </c>
      <c r="B48" s="31">
        <v>48114</v>
      </c>
      <c r="C48" s="27">
        <v>43384</v>
      </c>
      <c r="D48" s="28">
        <v>8050</v>
      </c>
      <c r="E48" s="32">
        <v>111</v>
      </c>
      <c r="F48" s="30"/>
      <c r="G48" s="30">
        <v>80</v>
      </c>
      <c r="H48" s="29">
        <v>1600</v>
      </c>
    </row>
    <row r="49" spans="1:8" x14ac:dyDescent="0.25">
      <c r="A49" t="s">
        <v>31</v>
      </c>
      <c r="B49" s="31">
        <v>48116</v>
      </c>
      <c r="C49" s="27">
        <v>43384</v>
      </c>
      <c r="D49" s="28">
        <v>8060</v>
      </c>
      <c r="E49" s="32">
        <v>109</v>
      </c>
      <c r="F49" s="30"/>
      <c r="G49" s="30">
        <v>60</v>
      </c>
      <c r="H49" s="29">
        <v>1680</v>
      </c>
    </row>
    <row r="50" spans="1:8" x14ac:dyDescent="0.25">
      <c r="A50" t="s">
        <v>31</v>
      </c>
      <c r="B50" s="31">
        <v>48116</v>
      </c>
      <c r="C50" s="27">
        <v>43384</v>
      </c>
      <c r="D50" s="28">
        <v>8060</v>
      </c>
      <c r="E50" s="32">
        <v>110</v>
      </c>
      <c r="F50" s="30"/>
      <c r="G50" s="30">
        <v>60</v>
      </c>
      <c r="H50" s="29">
        <v>3600</v>
      </c>
    </row>
    <row r="51" spans="1:8" x14ac:dyDescent="0.25">
      <c r="A51" t="s">
        <v>31</v>
      </c>
      <c r="B51" s="31">
        <v>45442</v>
      </c>
      <c r="C51" s="27">
        <v>43388</v>
      </c>
      <c r="D51" s="28">
        <v>8050</v>
      </c>
      <c r="E51" s="32">
        <v>108</v>
      </c>
      <c r="F51" s="30"/>
      <c r="G51" s="30">
        <v>50</v>
      </c>
      <c r="H51" s="29">
        <v>1400</v>
      </c>
    </row>
    <row r="52" spans="1:8" x14ac:dyDescent="0.25">
      <c r="A52" t="s">
        <v>31</v>
      </c>
      <c r="B52" s="31">
        <v>45442</v>
      </c>
      <c r="C52" s="27">
        <v>43388</v>
      </c>
      <c r="D52" s="28">
        <v>8050</v>
      </c>
      <c r="E52" s="32">
        <v>109</v>
      </c>
      <c r="F52" s="30">
        <v>1</v>
      </c>
      <c r="G52" s="30">
        <v>60</v>
      </c>
      <c r="H52" s="29">
        <v>1680</v>
      </c>
    </row>
    <row r="53" spans="1:8" x14ac:dyDescent="0.25">
      <c r="A53" t="s">
        <v>31</v>
      </c>
      <c r="B53" s="31">
        <v>45444</v>
      </c>
      <c r="C53" s="27">
        <v>43388</v>
      </c>
      <c r="D53" s="28">
        <v>8060</v>
      </c>
      <c r="E53" s="32">
        <v>108</v>
      </c>
      <c r="F53" s="30"/>
      <c r="G53" s="30">
        <v>60</v>
      </c>
      <c r="H53" s="29">
        <v>1680</v>
      </c>
    </row>
    <row r="54" spans="1:8" x14ac:dyDescent="0.25">
      <c r="A54" t="s">
        <v>31</v>
      </c>
      <c r="B54" s="31">
        <v>45444</v>
      </c>
      <c r="C54" s="27">
        <v>43388</v>
      </c>
      <c r="D54" s="28">
        <v>8060</v>
      </c>
      <c r="E54" s="32">
        <v>109</v>
      </c>
      <c r="F54" s="30"/>
      <c r="G54" s="30">
        <v>70</v>
      </c>
      <c r="H54" s="29">
        <v>1960</v>
      </c>
    </row>
    <row r="55" spans="1:8" x14ac:dyDescent="0.25">
      <c r="A55" t="s">
        <v>31</v>
      </c>
      <c r="B55" s="31">
        <v>45444</v>
      </c>
      <c r="C55" s="27">
        <v>43388</v>
      </c>
      <c r="D55" s="28">
        <v>8060</v>
      </c>
      <c r="E55" s="32">
        <v>110</v>
      </c>
      <c r="F55" s="30"/>
      <c r="G55" s="30">
        <v>60</v>
      </c>
      <c r="H55" s="29">
        <v>3600</v>
      </c>
    </row>
    <row r="56" spans="1:8" x14ac:dyDescent="0.25">
      <c r="A56" t="s">
        <v>31</v>
      </c>
      <c r="B56" s="31">
        <v>45446</v>
      </c>
      <c r="C56" s="27">
        <v>43388</v>
      </c>
      <c r="D56" s="28">
        <v>8050</v>
      </c>
      <c r="E56" s="32">
        <v>111</v>
      </c>
      <c r="F56" s="30"/>
      <c r="G56" s="30">
        <v>80</v>
      </c>
      <c r="H56" s="29">
        <v>1600</v>
      </c>
    </row>
    <row r="57" spans="1:8" x14ac:dyDescent="0.25">
      <c r="A57" t="s">
        <v>31</v>
      </c>
      <c r="B57" s="31">
        <v>45446</v>
      </c>
      <c r="C57" s="27">
        <v>43388</v>
      </c>
      <c r="D57" s="28">
        <v>8050</v>
      </c>
      <c r="E57" s="32">
        <v>108</v>
      </c>
      <c r="F57" s="30"/>
      <c r="G57" s="30">
        <v>50</v>
      </c>
      <c r="H57" s="29">
        <v>1400</v>
      </c>
    </row>
    <row r="58" spans="1:8" x14ac:dyDescent="0.25">
      <c r="A58" t="s">
        <v>31</v>
      </c>
      <c r="B58" s="26">
        <v>44015</v>
      </c>
      <c r="C58" s="27">
        <v>43383</v>
      </c>
      <c r="D58" s="28">
        <v>8060</v>
      </c>
      <c r="E58" s="28">
        <v>108</v>
      </c>
      <c r="F58" s="30"/>
      <c r="G58" s="30">
        <v>60</v>
      </c>
      <c r="H58" s="29">
        <v>1680</v>
      </c>
    </row>
    <row r="59" spans="1:8" x14ac:dyDescent="0.25">
      <c r="A59" t="s">
        <v>31</v>
      </c>
      <c r="B59" s="31">
        <v>44015</v>
      </c>
      <c r="C59" s="27">
        <v>43383</v>
      </c>
      <c r="D59" s="28">
        <v>8060</v>
      </c>
      <c r="E59" s="32">
        <v>109</v>
      </c>
      <c r="F59" s="30"/>
      <c r="G59" s="30">
        <v>70</v>
      </c>
      <c r="H59" s="29">
        <v>1960</v>
      </c>
    </row>
    <row r="60" spans="1:8" x14ac:dyDescent="0.25">
      <c r="A60" t="s">
        <v>31</v>
      </c>
      <c r="B60" s="31">
        <v>44017</v>
      </c>
      <c r="C60" s="27">
        <v>43386</v>
      </c>
      <c r="D60" s="28">
        <v>8060</v>
      </c>
      <c r="E60" s="28">
        <v>108</v>
      </c>
      <c r="F60" s="30"/>
      <c r="G60" s="30">
        <v>70</v>
      </c>
      <c r="H60" s="29">
        <v>1960</v>
      </c>
    </row>
    <row r="61" spans="1:8" x14ac:dyDescent="0.25">
      <c r="A61" t="s">
        <v>31</v>
      </c>
      <c r="B61" s="31">
        <v>44017</v>
      </c>
      <c r="C61" s="27">
        <v>43386</v>
      </c>
      <c r="D61" s="28">
        <v>8060</v>
      </c>
      <c r="E61" s="32">
        <v>109</v>
      </c>
      <c r="F61" s="30"/>
      <c r="G61" s="30">
        <v>70</v>
      </c>
      <c r="H61" s="29">
        <v>1960</v>
      </c>
    </row>
    <row r="62" spans="1:8" x14ac:dyDescent="0.25">
      <c r="A62" t="s">
        <v>31</v>
      </c>
      <c r="B62" s="31">
        <v>44016</v>
      </c>
      <c r="C62" s="27">
        <v>43387</v>
      </c>
      <c r="D62" s="28">
        <v>8050</v>
      </c>
      <c r="E62" s="28">
        <v>108</v>
      </c>
      <c r="F62" s="30"/>
      <c r="G62" s="30">
        <v>70</v>
      </c>
      <c r="H62" s="29">
        <v>1960</v>
      </c>
    </row>
    <row r="63" spans="1:8" x14ac:dyDescent="0.25">
      <c r="A63" t="s">
        <v>31</v>
      </c>
      <c r="B63" s="31">
        <v>44016</v>
      </c>
      <c r="C63" s="27">
        <v>43387</v>
      </c>
      <c r="D63" s="28">
        <v>8050</v>
      </c>
      <c r="E63" s="32">
        <v>109</v>
      </c>
      <c r="F63" s="30">
        <v>1</v>
      </c>
      <c r="G63" s="30">
        <v>60</v>
      </c>
      <c r="H63" s="29">
        <v>1680</v>
      </c>
    </row>
    <row r="64" spans="1:8" x14ac:dyDescent="0.25">
      <c r="A64" t="s">
        <v>31</v>
      </c>
      <c r="B64" s="31">
        <v>44016</v>
      </c>
      <c r="C64" s="27">
        <v>43387</v>
      </c>
      <c r="D64" s="28">
        <v>8050</v>
      </c>
      <c r="E64" s="32">
        <v>110</v>
      </c>
      <c r="F64" s="30"/>
      <c r="G64" s="30">
        <v>50</v>
      </c>
      <c r="H64" s="29">
        <v>3000</v>
      </c>
    </row>
    <row r="65" spans="1:8" x14ac:dyDescent="0.25">
      <c r="A65" t="s">
        <v>31</v>
      </c>
      <c r="B65" s="31">
        <v>48097</v>
      </c>
      <c r="C65" s="27">
        <v>43390</v>
      </c>
      <c r="D65" s="28">
        <v>8060</v>
      </c>
      <c r="E65" s="32">
        <v>109</v>
      </c>
      <c r="F65" s="30"/>
      <c r="G65" s="30">
        <v>60</v>
      </c>
      <c r="H65" s="29">
        <v>1680</v>
      </c>
    </row>
    <row r="66" spans="1:8" x14ac:dyDescent="0.25">
      <c r="A66" t="s">
        <v>31</v>
      </c>
      <c r="B66" s="31">
        <v>48097</v>
      </c>
      <c r="C66" s="27">
        <v>43390</v>
      </c>
      <c r="D66" s="28">
        <v>8060</v>
      </c>
      <c r="E66" s="32">
        <v>110</v>
      </c>
      <c r="F66" s="30"/>
      <c r="G66" s="30">
        <v>70</v>
      </c>
      <c r="H66" s="29">
        <v>4200</v>
      </c>
    </row>
    <row r="67" spans="1:8" x14ac:dyDescent="0.25">
      <c r="A67" t="s">
        <v>31</v>
      </c>
      <c r="B67" s="31">
        <v>48099</v>
      </c>
      <c r="C67" s="27">
        <v>43390</v>
      </c>
      <c r="D67" s="28">
        <v>8050</v>
      </c>
      <c r="E67" s="32">
        <v>109</v>
      </c>
      <c r="F67" s="30">
        <v>1</v>
      </c>
      <c r="G67" s="30">
        <v>60</v>
      </c>
      <c r="H67" s="29">
        <v>1680</v>
      </c>
    </row>
    <row r="68" spans="1:8" x14ac:dyDescent="0.25">
      <c r="A68" t="s">
        <v>31</v>
      </c>
      <c r="B68" s="31">
        <v>48099</v>
      </c>
      <c r="C68" s="27">
        <v>43390</v>
      </c>
      <c r="D68" s="28">
        <v>8050</v>
      </c>
      <c r="E68" s="32">
        <v>110</v>
      </c>
      <c r="F68" s="30"/>
      <c r="G68" s="30">
        <v>60</v>
      </c>
      <c r="H68" s="29">
        <v>3600</v>
      </c>
    </row>
    <row r="69" spans="1:8" x14ac:dyDescent="0.25">
      <c r="A69" t="s">
        <v>31</v>
      </c>
      <c r="B69" s="31">
        <v>48099</v>
      </c>
      <c r="C69" s="27">
        <v>43390</v>
      </c>
      <c r="D69" s="28">
        <v>8050</v>
      </c>
      <c r="E69" s="32">
        <v>111</v>
      </c>
      <c r="F69" s="30"/>
      <c r="G69" s="30">
        <v>60</v>
      </c>
      <c r="H69" s="29">
        <v>1200</v>
      </c>
    </row>
    <row r="70" spans="1:8" x14ac:dyDescent="0.25">
      <c r="A70" t="s">
        <v>31</v>
      </c>
      <c r="B70" s="31">
        <v>48101</v>
      </c>
      <c r="C70" s="27">
        <v>43390</v>
      </c>
      <c r="D70" s="28">
        <v>8060</v>
      </c>
      <c r="E70" s="32">
        <v>109</v>
      </c>
      <c r="F70" s="30"/>
      <c r="G70" s="30">
        <v>60</v>
      </c>
      <c r="H70" s="29">
        <v>1680</v>
      </c>
    </row>
    <row r="71" spans="1:8" x14ac:dyDescent="0.25">
      <c r="A71" t="s">
        <v>31</v>
      </c>
      <c r="B71" s="31">
        <v>48101</v>
      </c>
      <c r="C71" s="27">
        <v>43390</v>
      </c>
      <c r="D71" s="28">
        <v>8060</v>
      </c>
      <c r="E71" s="32">
        <v>110</v>
      </c>
      <c r="F71" s="30"/>
      <c r="G71" s="30">
        <v>50</v>
      </c>
      <c r="H71" s="29">
        <v>3000</v>
      </c>
    </row>
    <row r="72" spans="1:8" x14ac:dyDescent="0.25">
      <c r="A72" t="s">
        <v>31</v>
      </c>
      <c r="B72" s="31">
        <v>45427</v>
      </c>
      <c r="C72" s="27">
        <v>43394</v>
      </c>
      <c r="D72" s="28">
        <v>8050</v>
      </c>
      <c r="E72" s="32">
        <v>108</v>
      </c>
      <c r="F72" s="30"/>
      <c r="G72" s="30">
        <v>70</v>
      </c>
      <c r="H72" s="29">
        <v>1960</v>
      </c>
    </row>
    <row r="73" spans="1:8" x14ac:dyDescent="0.25">
      <c r="A73" t="s">
        <v>31</v>
      </c>
      <c r="B73" s="31">
        <v>45427</v>
      </c>
      <c r="C73" s="27">
        <v>43394</v>
      </c>
      <c r="D73" s="28">
        <v>8050</v>
      </c>
      <c r="E73" s="32">
        <v>109</v>
      </c>
      <c r="F73" s="30"/>
      <c r="G73" s="30">
        <v>60</v>
      </c>
      <c r="H73" s="29">
        <v>1680</v>
      </c>
    </row>
    <row r="74" spans="1:8" x14ac:dyDescent="0.25">
      <c r="A74" t="s">
        <v>31</v>
      </c>
      <c r="B74" s="31">
        <v>45429</v>
      </c>
      <c r="C74" s="27">
        <v>43394</v>
      </c>
      <c r="D74" s="28">
        <v>8060</v>
      </c>
      <c r="E74" s="32">
        <v>108</v>
      </c>
      <c r="F74" s="30"/>
      <c r="G74" s="30">
        <v>80</v>
      </c>
      <c r="H74" s="29">
        <v>2240</v>
      </c>
    </row>
    <row r="75" spans="1:8" x14ac:dyDescent="0.25">
      <c r="A75" t="s">
        <v>31</v>
      </c>
      <c r="B75" s="31">
        <v>45429</v>
      </c>
      <c r="C75" s="27">
        <v>43394</v>
      </c>
      <c r="D75" s="28">
        <v>8060</v>
      </c>
      <c r="E75" s="32">
        <v>109</v>
      </c>
      <c r="F75" s="30">
        <v>2</v>
      </c>
      <c r="G75" s="30">
        <v>80</v>
      </c>
      <c r="H75" s="29">
        <v>2240</v>
      </c>
    </row>
    <row r="76" spans="1:8" x14ac:dyDescent="0.25">
      <c r="A76" t="s">
        <v>31</v>
      </c>
      <c r="B76" s="31">
        <v>45429</v>
      </c>
      <c r="C76" s="27">
        <v>43394</v>
      </c>
      <c r="D76" s="28">
        <v>8060</v>
      </c>
      <c r="E76" s="32">
        <v>110</v>
      </c>
      <c r="F76" s="30"/>
      <c r="G76" s="30">
        <v>50</v>
      </c>
      <c r="H76" s="29">
        <v>3000</v>
      </c>
    </row>
    <row r="77" spans="1:8" x14ac:dyDescent="0.25">
      <c r="A77" t="s">
        <v>31</v>
      </c>
      <c r="B77" s="31">
        <v>45431</v>
      </c>
      <c r="C77" s="27">
        <v>43394</v>
      </c>
      <c r="D77" s="28">
        <v>8050</v>
      </c>
      <c r="E77" s="32">
        <v>111</v>
      </c>
      <c r="F77" s="30"/>
      <c r="G77" s="30">
        <v>60</v>
      </c>
      <c r="H77" s="29">
        <v>1200</v>
      </c>
    </row>
    <row r="78" spans="1:8" x14ac:dyDescent="0.25">
      <c r="A78" t="s">
        <v>31</v>
      </c>
      <c r="B78" s="31">
        <v>45431</v>
      </c>
      <c r="C78" s="27">
        <v>43394</v>
      </c>
      <c r="D78" s="28">
        <v>8050</v>
      </c>
      <c r="E78" s="32">
        <v>108</v>
      </c>
      <c r="F78" s="33"/>
      <c r="G78" s="30">
        <v>60</v>
      </c>
      <c r="H78" s="29">
        <v>1680</v>
      </c>
    </row>
    <row r="79" spans="1:8" x14ac:dyDescent="0.25">
      <c r="A79" t="s">
        <v>29</v>
      </c>
      <c r="B79" s="26">
        <v>24030</v>
      </c>
      <c r="C79" s="27">
        <v>43375</v>
      </c>
      <c r="D79" s="28">
        <v>8020</v>
      </c>
      <c r="E79" s="32">
        <v>101</v>
      </c>
      <c r="F79" s="29">
        <v>1</v>
      </c>
      <c r="G79" s="30">
        <v>130</v>
      </c>
      <c r="H79" s="29">
        <v>1560</v>
      </c>
    </row>
    <row r="80" spans="1:8" x14ac:dyDescent="0.25">
      <c r="A80" t="s">
        <v>29</v>
      </c>
      <c r="B80" s="31">
        <v>24030</v>
      </c>
      <c r="C80" s="27">
        <v>43375</v>
      </c>
      <c r="D80" s="28">
        <v>8020</v>
      </c>
      <c r="E80" s="32">
        <v>102</v>
      </c>
      <c r="F80" s="30"/>
      <c r="G80" s="30">
        <v>30</v>
      </c>
      <c r="H80" s="29">
        <v>360</v>
      </c>
    </row>
    <row r="81" spans="1:8" x14ac:dyDescent="0.25">
      <c r="A81" t="s">
        <v>29</v>
      </c>
      <c r="B81" s="31">
        <v>24030</v>
      </c>
      <c r="C81" s="27">
        <v>43375</v>
      </c>
      <c r="D81" s="28">
        <v>8020</v>
      </c>
      <c r="E81" s="32">
        <v>106</v>
      </c>
      <c r="F81" s="30" t="s">
        <v>89</v>
      </c>
      <c r="G81" s="30">
        <v>60</v>
      </c>
      <c r="H81" s="29">
        <v>300</v>
      </c>
    </row>
    <row r="82" spans="1:8" x14ac:dyDescent="0.25">
      <c r="A82" t="s">
        <v>29</v>
      </c>
      <c r="B82" s="31">
        <v>24030</v>
      </c>
      <c r="C82" s="27">
        <v>43375</v>
      </c>
      <c r="D82" s="28">
        <v>8020</v>
      </c>
      <c r="E82" s="32">
        <v>108</v>
      </c>
      <c r="F82" s="30"/>
      <c r="G82" s="30">
        <v>80</v>
      </c>
      <c r="H82" s="29">
        <v>2240</v>
      </c>
    </row>
    <row r="83" spans="1:8" x14ac:dyDescent="0.25">
      <c r="A83" t="s">
        <v>29</v>
      </c>
      <c r="B83" s="31">
        <v>24031</v>
      </c>
      <c r="C83" s="27">
        <v>43381</v>
      </c>
      <c r="D83" s="28">
        <v>8020</v>
      </c>
      <c r="E83" s="32">
        <v>101</v>
      </c>
      <c r="F83" s="30" t="s">
        <v>89</v>
      </c>
      <c r="G83" s="30">
        <v>100</v>
      </c>
      <c r="H83" s="29">
        <v>1200</v>
      </c>
    </row>
    <row r="84" spans="1:8" x14ac:dyDescent="0.25">
      <c r="A84" t="s">
        <v>29</v>
      </c>
      <c r="B84" s="31">
        <v>24031</v>
      </c>
      <c r="C84" s="27">
        <v>43381</v>
      </c>
      <c r="D84" s="28">
        <v>8020</v>
      </c>
      <c r="E84" s="32">
        <v>108</v>
      </c>
      <c r="F84" s="30" t="s">
        <v>89</v>
      </c>
      <c r="G84" s="30">
        <v>20</v>
      </c>
      <c r="H84" s="29">
        <v>560</v>
      </c>
    </row>
    <row r="85" spans="1:8" x14ac:dyDescent="0.25">
      <c r="A85" t="s">
        <v>29</v>
      </c>
      <c r="B85" s="31">
        <v>24031</v>
      </c>
      <c r="C85" s="27">
        <v>43381</v>
      </c>
      <c r="D85" s="28">
        <v>8020</v>
      </c>
      <c r="E85" s="32">
        <v>113</v>
      </c>
      <c r="F85" s="30" t="s">
        <v>89</v>
      </c>
      <c r="G85" s="30">
        <v>100</v>
      </c>
      <c r="H85" s="29">
        <v>2500</v>
      </c>
    </row>
    <row r="86" spans="1:8" x14ac:dyDescent="0.25">
      <c r="A86" t="s">
        <v>29</v>
      </c>
      <c r="B86" s="31">
        <v>28112</v>
      </c>
      <c r="C86" s="27">
        <v>43385</v>
      </c>
      <c r="D86" s="28">
        <v>8020</v>
      </c>
      <c r="E86" s="32">
        <v>114</v>
      </c>
      <c r="F86" s="30">
        <v>1</v>
      </c>
      <c r="G86" s="30">
        <v>50</v>
      </c>
      <c r="H86" s="29">
        <v>1250</v>
      </c>
    </row>
    <row r="87" spans="1:8" x14ac:dyDescent="0.25">
      <c r="A87" t="s">
        <v>29</v>
      </c>
      <c r="B87" s="31">
        <v>28112</v>
      </c>
      <c r="C87" s="27">
        <v>43385</v>
      </c>
      <c r="D87" s="28">
        <v>8020</v>
      </c>
      <c r="E87" s="32">
        <v>101</v>
      </c>
      <c r="F87" s="30" t="s">
        <v>89</v>
      </c>
      <c r="G87" s="30">
        <v>40</v>
      </c>
      <c r="H87" s="29">
        <v>480</v>
      </c>
    </row>
    <row r="88" spans="1:8" x14ac:dyDescent="0.25">
      <c r="A88" t="s">
        <v>29</v>
      </c>
      <c r="B88" s="31">
        <v>28112</v>
      </c>
      <c r="C88" s="27">
        <v>43385</v>
      </c>
      <c r="D88" s="28">
        <v>8020</v>
      </c>
      <c r="E88" s="32">
        <v>102</v>
      </c>
      <c r="F88" s="30"/>
      <c r="G88" s="30">
        <v>70</v>
      </c>
      <c r="H88" s="29">
        <v>840</v>
      </c>
    </row>
    <row r="89" spans="1:8" x14ac:dyDescent="0.25">
      <c r="A89" t="s">
        <v>29</v>
      </c>
      <c r="B89" s="31">
        <v>28112</v>
      </c>
      <c r="C89" s="27">
        <v>43385</v>
      </c>
      <c r="D89" s="28">
        <v>8020</v>
      </c>
      <c r="E89" s="32">
        <v>106</v>
      </c>
      <c r="F89" s="30"/>
      <c r="G89" s="30">
        <v>70</v>
      </c>
      <c r="H89" s="29">
        <v>350</v>
      </c>
    </row>
    <row r="90" spans="1:8" x14ac:dyDescent="0.25">
      <c r="A90" t="s">
        <v>29</v>
      </c>
      <c r="B90" s="31">
        <v>28112</v>
      </c>
      <c r="C90" s="27">
        <v>43385</v>
      </c>
      <c r="D90" s="28">
        <v>8020</v>
      </c>
      <c r="E90" s="32">
        <v>108</v>
      </c>
      <c r="F90" s="30"/>
      <c r="G90" s="30">
        <v>10</v>
      </c>
      <c r="H90" s="29">
        <v>280</v>
      </c>
    </row>
    <row r="91" spans="1:8" x14ac:dyDescent="0.25">
      <c r="A91" t="s">
        <v>29</v>
      </c>
      <c r="B91" s="31">
        <v>28112</v>
      </c>
      <c r="C91" s="27">
        <v>43385</v>
      </c>
      <c r="D91" s="28">
        <v>8020</v>
      </c>
      <c r="E91" s="32">
        <v>117</v>
      </c>
      <c r="F91" s="30"/>
      <c r="G91" s="30">
        <v>80</v>
      </c>
      <c r="H91" s="29">
        <v>1440</v>
      </c>
    </row>
    <row r="92" spans="1:8" x14ac:dyDescent="0.25">
      <c r="A92" t="s">
        <v>29</v>
      </c>
      <c r="B92" s="31">
        <v>28112</v>
      </c>
      <c r="C92" s="27">
        <v>43385</v>
      </c>
      <c r="D92" s="28">
        <v>8020</v>
      </c>
      <c r="E92" s="32">
        <v>118</v>
      </c>
      <c r="F92" s="30"/>
      <c r="G92" s="30">
        <v>70</v>
      </c>
      <c r="H92" s="29">
        <v>1260</v>
      </c>
    </row>
    <row r="93" spans="1:8" x14ac:dyDescent="0.25">
      <c r="A93" t="s">
        <v>29</v>
      </c>
      <c r="B93" s="31">
        <v>25442</v>
      </c>
      <c r="C93" s="27">
        <v>43389</v>
      </c>
      <c r="D93" s="28">
        <v>8010</v>
      </c>
      <c r="E93" s="32">
        <v>118</v>
      </c>
      <c r="F93" s="30"/>
      <c r="G93" s="30">
        <v>70</v>
      </c>
      <c r="H93" s="29">
        <v>1260</v>
      </c>
    </row>
    <row r="94" spans="1:8" x14ac:dyDescent="0.25">
      <c r="A94" t="s">
        <v>29</v>
      </c>
      <c r="B94" s="31">
        <v>25442</v>
      </c>
      <c r="C94" s="27">
        <v>43389</v>
      </c>
      <c r="D94" s="28">
        <v>8010</v>
      </c>
      <c r="E94" s="32">
        <v>117</v>
      </c>
      <c r="F94" s="30">
        <v>6</v>
      </c>
      <c r="G94" s="30">
        <v>80</v>
      </c>
      <c r="H94" s="29">
        <v>1440</v>
      </c>
    </row>
    <row r="95" spans="1:8" x14ac:dyDescent="0.25">
      <c r="A95" t="s">
        <v>29</v>
      </c>
      <c r="B95" s="31">
        <v>25442</v>
      </c>
      <c r="C95" s="27">
        <v>43389</v>
      </c>
      <c r="D95" s="28">
        <v>8010</v>
      </c>
      <c r="E95" s="32">
        <v>118</v>
      </c>
      <c r="F95" s="30"/>
      <c r="G95" s="30">
        <v>70</v>
      </c>
      <c r="H95" s="29">
        <v>1260</v>
      </c>
    </row>
    <row r="96" spans="1:8" x14ac:dyDescent="0.25">
      <c r="A96" t="s">
        <v>29</v>
      </c>
      <c r="B96" s="31">
        <v>25442</v>
      </c>
      <c r="C96" s="27">
        <v>43389</v>
      </c>
      <c r="D96" s="28">
        <v>8010</v>
      </c>
      <c r="E96" s="32">
        <v>116</v>
      </c>
      <c r="F96" s="30">
        <v>1</v>
      </c>
      <c r="G96" s="30">
        <v>60</v>
      </c>
      <c r="H96" s="29">
        <v>360</v>
      </c>
    </row>
    <row r="97" spans="1:8" x14ac:dyDescent="0.25">
      <c r="A97" t="s">
        <v>29</v>
      </c>
      <c r="B97" s="31">
        <v>25442</v>
      </c>
      <c r="C97" s="27">
        <v>43389</v>
      </c>
      <c r="D97" s="28">
        <v>8010</v>
      </c>
      <c r="E97" s="32">
        <v>106</v>
      </c>
      <c r="F97" s="30"/>
      <c r="G97" s="30">
        <v>20</v>
      </c>
      <c r="H97" s="29">
        <v>100</v>
      </c>
    </row>
    <row r="98" spans="1:8" x14ac:dyDescent="0.25">
      <c r="A98" t="s">
        <v>29</v>
      </c>
      <c r="B98" s="31">
        <v>25442</v>
      </c>
      <c r="C98" s="27">
        <v>43389</v>
      </c>
      <c r="D98" s="28">
        <v>8010</v>
      </c>
      <c r="E98" s="32">
        <v>101</v>
      </c>
      <c r="F98" s="30"/>
      <c r="G98" s="30">
        <v>40</v>
      </c>
      <c r="H98" s="29">
        <v>480</v>
      </c>
    </row>
    <row r="99" spans="1:8" x14ac:dyDescent="0.25">
      <c r="A99" t="s">
        <v>29</v>
      </c>
      <c r="B99" s="31">
        <v>25442</v>
      </c>
      <c r="C99" s="27">
        <v>43389</v>
      </c>
      <c r="D99" s="28">
        <v>8010</v>
      </c>
      <c r="E99" s="32">
        <v>102</v>
      </c>
      <c r="F99" s="30"/>
      <c r="G99" s="30">
        <v>10</v>
      </c>
      <c r="H99" s="29">
        <v>120</v>
      </c>
    </row>
    <row r="100" spans="1:8" x14ac:dyDescent="0.25">
      <c r="A100" t="s">
        <v>28</v>
      </c>
      <c r="B100" s="26">
        <v>66030</v>
      </c>
      <c r="C100" s="27">
        <v>43377</v>
      </c>
      <c r="D100" s="28">
        <v>8010</v>
      </c>
      <c r="E100" s="28">
        <v>103</v>
      </c>
      <c r="F100" s="29" t="s">
        <v>89</v>
      </c>
      <c r="G100" s="30">
        <v>120</v>
      </c>
      <c r="H100" s="29">
        <v>1440</v>
      </c>
    </row>
    <row r="101" spans="1:8" x14ac:dyDescent="0.25">
      <c r="A101" t="s">
        <v>28</v>
      </c>
      <c r="B101" s="31">
        <v>66030</v>
      </c>
      <c r="C101" s="27">
        <v>43377</v>
      </c>
      <c r="D101" s="28">
        <v>8010</v>
      </c>
      <c r="E101" s="32">
        <v>104</v>
      </c>
      <c r="F101" s="30"/>
      <c r="G101" s="30">
        <v>150</v>
      </c>
      <c r="H101" s="29">
        <v>1800</v>
      </c>
    </row>
    <row r="102" spans="1:8" x14ac:dyDescent="0.25">
      <c r="A102" t="s">
        <v>28</v>
      </c>
      <c r="B102" s="31">
        <v>66032</v>
      </c>
      <c r="C102" s="27">
        <v>43380</v>
      </c>
      <c r="D102" s="28">
        <v>8010</v>
      </c>
      <c r="E102" s="28">
        <v>103</v>
      </c>
      <c r="F102" s="30"/>
      <c r="G102" s="30">
        <v>170</v>
      </c>
      <c r="H102" s="29">
        <v>2040</v>
      </c>
    </row>
    <row r="103" spans="1:8" x14ac:dyDescent="0.25">
      <c r="A103" t="s">
        <v>28</v>
      </c>
      <c r="B103" s="31">
        <v>66032</v>
      </c>
      <c r="C103" s="27">
        <v>43380</v>
      </c>
      <c r="D103" s="28">
        <v>8010</v>
      </c>
      <c r="E103" s="32">
        <v>104</v>
      </c>
      <c r="F103" s="30"/>
      <c r="G103" s="30">
        <v>140</v>
      </c>
      <c r="H103" s="29">
        <v>1680</v>
      </c>
    </row>
    <row r="104" spans="1:8" x14ac:dyDescent="0.25">
      <c r="A104" t="s">
        <v>28</v>
      </c>
      <c r="B104" s="31">
        <v>66031</v>
      </c>
      <c r="C104" s="27">
        <v>43381</v>
      </c>
      <c r="D104" s="28">
        <v>8020</v>
      </c>
      <c r="E104" s="28">
        <v>103</v>
      </c>
      <c r="F104" s="30">
        <v>1</v>
      </c>
      <c r="G104" s="30">
        <v>140</v>
      </c>
      <c r="H104" s="29">
        <v>1680</v>
      </c>
    </row>
    <row r="105" spans="1:8" x14ac:dyDescent="0.25">
      <c r="A105" t="s">
        <v>28</v>
      </c>
      <c r="B105" s="31">
        <v>66031</v>
      </c>
      <c r="C105" s="27">
        <v>43381</v>
      </c>
      <c r="D105" s="28">
        <v>8020</v>
      </c>
      <c r="E105" s="32">
        <v>104</v>
      </c>
      <c r="F105" s="30"/>
      <c r="G105" s="30">
        <v>150</v>
      </c>
      <c r="H105" s="29">
        <v>1800</v>
      </c>
    </row>
    <row r="106" spans="1:8" x14ac:dyDescent="0.25">
      <c r="A106" t="s">
        <v>28</v>
      </c>
      <c r="B106" s="31">
        <v>66031</v>
      </c>
      <c r="C106" s="27">
        <v>43381</v>
      </c>
      <c r="D106" s="28">
        <v>8020</v>
      </c>
      <c r="E106" s="32">
        <v>105</v>
      </c>
      <c r="F106" s="30"/>
      <c r="G106" s="30">
        <v>100</v>
      </c>
      <c r="H106" s="29">
        <v>1000</v>
      </c>
    </row>
    <row r="107" spans="1:8" x14ac:dyDescent="0.25">
      <c r="A107" t="s">
        <v>28</v>
      </c>
      <c r="B107" s="31">
        <v>68112</v>
      </c>
      <c r="C107" s="27">
        <v>43384</v>
      </c>
      <c r="D107" s="28">
        <v>8010</v>
      </c>
      <c r="E107" s="32">
        <v>104</v>
      </c>
      <c r="F107" s="30">
        <v>4</v>
      </c>
      <c r="G107" s="30">
        <v>180</v>
      </c>
      <c r="H107" s="29">
        <v>2160</v>
      </c>
    </row>
    <row r="108" spans="1:8" x14ac:dyDescent="0.25">
      <c r="A108" t="s">
        <v>28</v>
      </c>
      <c r="B108" s="31">
        <v>68112</v>
      </c>
      <c r="C108" s="27">
        <v>43384</v>
      </c>
      <c r="D108" s="28">
        <v>8010</v>
      </c>
      <c r="E108" s="32">
        <v>105</v>
      </c>
      <c r="F108" s="30"/>
      <c r="G108" s="30">
        <v>120</v>
      </c>
      <c r="H108" s="29">
        <v>1200</v>
      </c>
    </row>
    <row r="109" spans="1:8" x14ac:dyDescent="0.25">
      <c r="A109" t="s">
        <v>28</v>
      </c>
      <c r="B109" s="31">
        <v>68116</v>
      </c>
      <c r="C109" s="27">
        <v>43384</v>
      </c>
      <c r="D109" s="28">
        <v>8020</v>
      </c>
      <c r="E109" s="32">
        <v>104</v>
      </c>
      <c r="F109" s="30"/>
      <c r="G109" s="30">
        <v>150</v>
      </c>
      <c r="H109" s="29">
        <v>1800</v>
      </c>
    </row>
    <row r="110" spans="1:8" x14ac:dyDescent="0.25">
      <c r="A110" t="s">
        <v>28</v>
      </c>
      <c r="B110" s="31">
        <v>68116</v>
      </c>
      <c r="C110" s="27">
        <v>43384</v>
      </c>
      <c r="D110" s="28">
        <v>8020</v>
      </c>
      <c r="E110" s="32">
        <v>105</v>
      </c>
      <c r="F110" s="30"/>
      <c r="G110" s="30">
        <v>190</v>
      </c>
      <c r="H110" s="29">
        <v>1900</v>
      </c>
    </row>
    <row r="111" spans="1:8" x14ac:dyDescent="0.25">
      <c r="A111" t="s">
        <v>28</v>
      </c>
      <c r="B111" s="31">
        <v>68116</v>
      </c>
      <c r="C111" s="27">
        <v>43384</v>
      </c>
      <c r="D111" s="28">
        <v>8020</v>
      </c>
      <c r="E111" s="32">
        <v>107</v>
      </c>
      <c r="F111" s="30">
        <v>2</v>
      </c>
      <c r="G111" s="30">
        <v>160</v>
      </c>
      <c r="H111" s="29">
        <v>800</v>
      </c>
    </row>
    <row r="112" spans="1:8" x14ac:dyDescent="0.25">
      <c r="A112" t="s">
        <v>28</v>
      </c>
      <c r="B112" s="31">
        <v>68116</v>
      </c>
      <c r="C112" s="27">
        <v>43384</v>
      </c>
      <c r="D112" s="28">
        <v>8010</v>
      </c>
      <c r="E112" s="32">
        <v>104</v>
      </c>
      <c r="F112" s="30"/>
      <c r="G112" s="30">
        <v>160</v>
      </c>
      <c r="H112" s="29">
        <v>1920</v>
      </c>
    </row>
    <row r="113" spans="1:8" x14ac:dyDescent="0.25">
      <c r="A113" t="s">
        <v>28</v>
      </c>
      <c r="B113" s="31">
        <v>68116</v>
      </c>
      <c r="C113" s="27">
        <v>43384</v>
      </c>
      <c r="D113" s="28">
        <v>8010</v>
      </c>
      <c r="E113" s="32">
        <v>105</v>
      </c>
      <c r="F113" s="30"/>
      <c r="G113" s="30">
        <v>190</v>
      </c>
      <c r="H113" s="29">
        <v>1900</v>
      </c>
    </row>
    <row r="114" spans="1:8" x14ac:dyDescent="0.25">
      <c r="A114" t="s">
        <v>28</v>
      </c>
      <c r="B114" s="31">
        <v>65662</v>
      </c>
      <c r="C114" s="27">
        <v>43388</v>
      </c>
      <c r="D114" s="28">
        <v>8020</v>
      </c>
      <c r="E114" s="32">
        <v>103</v>
      </c>
      <c r="F114" s="30"/>
      <c r="G114" s="30">
        <v>120</v>
      </c>
      <c r="H114" s="29">
        <v>1440</v>
      </c>
    </row>
    <row r="115" spans="1:8" x14ac:dyDescent="0.25">
      <c r="A115" t="s">
        <v>28</v>
      </c>
      <c r="B115" s="31">
        <v>65662</v>
      </c>
      <c r="C115" s="27">
        <v>43388</v>
      </c>
      <c r="D115" s="28">
        <v>8020</v>
      </c>
      <c r="E115" s="32">
        <v>104</v>
      </c>
      <c r="F115" s="30"/>
      <c r="G115" s="30">
        <v>110</v>
      </c>
      <c r="H115" s="29">
        <v>1320</v>
      </c>
    </row>
    <row r="116" spans="1:8" x14ac:dyDescent="0.25">
      <c r="A116" t="s">
        <v>28</v>
      </c>
      <c r="B116" s="31">
        <v>65666</v>
      </c>
      <c r="C116" s="27">
        <v>43388</v>
      </c>
      <c r="D116" s="28">
        <v>8010</v>
      </c>
      <c r="E116" s="32">
        <v>103</v>
      </c>
      <c r="F116" s="30"/>
      <c r="G116" s="30">
        <v>120</v>
      </c>
      <c r="H116" s="29">
        <v>1440</v>
      </c>
    </row>
    <row r="117" spans="1:8" x14ac:dyDescent="0.25">
      <c r="A117" t="s">
        <v>28</v>
      </c>
      <c r="B117" s="31">
        <v>65666</v>
      </c>
      <c r="C117" s="27">
        <v>43388</v>
      </c>
      <c r="D117" s="28">
        <v>8010</v>
      </c>
      <c r="E117" s="32">
        <v>104</v>
      </c>
      <c r="F117" s="30"/>
      <c r="G117" s="30">
        <v>140</v>
      </c>
      <c r="H117" s="29">
        <v>1680</v>
      </c>
    </row>
    <row r="118" spans="1:8" x14ac:dyDescent="0.25">
      <c r="A118" t="s">
        <v>28</v>
      </c>
      <c r="B118" s="31">
        <v>65666</v>
      </c>
      <c r="C118" s="27">
        <v>43388</v>
      </c>
      <c r="D118" s="28">
        <v>8010</v>
      </c>
      <c r="E118" s="32">
        <v>105</v>
      </c>
      <c r="F118" s="30"/>
      <c r="G118" s="30">
        <v>160</v>
      </c>
      <c r="H118" s="29">
        <v>1600</v>
      </c>
    </row>
    <row r="119" spans="1:8" x14ac:dyDescent="0.25">
      <c r="A119" t="s">
        <v>28</v>
      </c>
      <c r="B119" s="31">
        <v>65666</v>
      </c>
      <c r="C119" s="27">
        <v>43388</v>
      </c>
      <c r="D119" s="28">
        <v>8020</v>
      </c>
      <c r="E119" s="32">
        <v>107</v>
      </c>
      <c r="F119" s="30"/>
      <c r="G119" s="30">
        <v>120</v>
      </c>
      <c r="H119" s="29">
        <v>600</v>
      </c>
    </row>
    <row r="120" spans="1:8" x14ac:dyDescent="0.25">
      <c r="A120" t="s">
        <v>28</v>
      </c>
      <c r="B120" s="31">
        <v>65666</v>
      </c>
      <c r="C120" s="27">
        <v>43388</v>
      </c>
      <c r="D120" s="28">
        <v>8020</v>
      </c>
      <c r="E120" s="32">
        <v>103</v>
      </c>
      <c r="F120" s="30"/>
      <c r="G120" s="30">
        <v>200</v>
      </c>
      <c r="H120" s="29">
        <v>2400</v>
      </c>
    </row>
    <row r="121" spans="1:8" x14ac:dyDescent="0.25">
      <c r="A121" t="s">
        <v>28</v>
      </c>
      <c r="B121" s="26">
        <v>66015</v>
      </c>
      <c r="C121" s="27">
        <v>43383</v>
      </c>
      <c r="D121" s="28">
        <v>8010</v>
      </c>
      <c r="E121" s="28">
        <v>103</v>
      </c>
      <c r="F121" s="30"/>
      <c r="G121" s="30">
        <v>140</v>
      </c>
      <c r="H121" s="29">
        <v>1680</v>
      </c>
    </row>
    <row r="122" spans="1:8" x14ac:dyDescent="0.25">
      <c r="A122" t="s">
        <v>28</v>
      </c>
      <c r="B122" s="31">
        <v>66015</v>
      </c>
      <c r="C122" s="27">
        <v>43383</v>
      </c>
      <c r="D122" s="28">
        <v>8010</v>
      </c>
      <c r="E122" s="32">
        <v>104</v>
      </c>
      <c r="F122" s="30"/>
      <c r="G122" s="30">
        <v>140</v>
      </c>
      <c r="H122" s="29">
        <v>1680</v>
      </c>
    </row>
    <row r="123" spans="1:8" x14ac:dyDescent="0.25">
      <c r="A123" t="s">
        <v>28</v>
      </c>
      <c r="B123" s="31">
        <v>66017</v>
      </c>
      <c r="C123" s="27">
        <v>43386</v>
      </c>
      <c r="D123" s="28">
        <v>8010</v>
      </c>
      <c r="E123" s="28">
        <v>103</v>
      </c>
      <c r="F123" s="30"/>
      <c r="G123" s="30">
        <v>140</v>
      </c>
      <c r="H123" s="29">
        <v>1680</v>
      </c>
    </row>
    <row r="124" spans="1:8" x14ac:dyDescent="0.25">
      <c r="A124" t="s">
        <v>28</v>
      </c>
      <c r="B124" s="31">
        <v>66017</v>
      </c>
      <c r="C124" s="27">
        <v>43386</v>
      </c>
      <c r="D124" s="28">
        <v>8010</v>
      </c>
      <c r="E124" s="32">
        <v>104</v>
      </c>
      <c r="F124" s="30"/>
      <c r="G124" s="30">
        <v>140</v>
      </c>
      <c r="H124" s="29">
        <v>1680</v>
      </c>
    </row>
    <row r="125" spans="1:8" x14ac:dyDescent="0.25">
      <c r="A125" t="s">
        <v>28</v>
      </c>
      <c r="B125" s="31">
        <v>66016</v>
      </c>
      <c r="C125" s="27">
        <v>43387</v>
      </c>
      <c r="D125" s="28">
        <v>8020</v>
      </c>
      <c r="E125" s="28">
        <v>103</v>
      </c>
      <c r="F125" s="30"/>
      <c r="G125" s="30">
        <v>120</v>
      </c>
      <c r="H125" s="29">
        <v>1440</v>
      </c>
    </row>
    <row r="126" spans="1:8" x14ac:dyDescent="0.25">
      <c r="A126" t="s">
        <v>28</v>
      </c>
      <c r="B126" s="31">
        <v>66016</v>
      </c>
      <c r="C126" s="27">
        <v>43387</v>
      </c>
      <c r="D126" s="28">
        <v>8020</v>
      </c>
      <c r="E126" s="32">
        <v>104</v>
      </c>
      <c r="F126" s="30"/>
      <c r="G126" s="30">
        <v>130</v>
      </c>
      <c r="H126" s="29">
        <v>1560</v>
      </c>
    </row>
    <row r="127" spans="1:8" x14ac:dyDescent="0.25">
      <c r="A127" t="s">
        <v>28</v>
      </c>
      <c r="B127" s="31">
        <v>66016</v>
      </c>
      <c r="C127" s="27">
        <v>43387</v>
      </c>
      <c r="D127" s="28">
        <v>8020</v>
      </c>
      <c r="E127" s="32">
        <v>105</v>
      </c>
      <c r="F127" s="30"/>
      <c r="G127" s="30">
        <v>120</v>
      </c>
      <c r="H127" s="29">
        <v>1200</v>
      </c>
    </row>
    <row r="128" spans="1:8" x14ac:dyDescent="0.25">
      <c r="A128" t="s">
        <v>28</v>
      </c>
      <c r="B128" s="31">
        <v>68097</v>
      </c>
      <c r="C128" s="27">
        <v>43390</v>
      </c>
      <c r="D128" s="28">
        <v>8010</v>
      </c>
      <c r="E128" s="32">
        <v>104</v>
      </c>
      <c r="F128" s="30"/>
      <c r="G128" s="30">
        <v>140</v>
      </c>
      <c r="H128" s="29">
        <v>1680</v>
      </c>
    </row>
    <row r="129" spans="1:8" x14ac:dyDescent="0.25">
      <c r="A129" t="s">
        <v>28</v>
      </c>
      <c r="B129" s="31">
        <v>68097</v>
      </c>
      <c r="C129" s="27">
        <v>43390</v>
      </c>
      <c r="D129" s="28">
        <v>8010</v>
      </c>
      <c r="E129" s="32">
        <v>105</v>
      </c>
      <c r="F129" s="30"/>
      <c r="G129" s="30">
        <v>130</v>
      </c>
      <c r="H129" s="29">
        <v>1300</v>
      </c>
    </row>
    <row r="130" spans="1:8" x14ac:dyDescent="0.25">
      <c r="A130" t="s">
        <v>28</v>
      </c>
      <c r="B130" s="31">
        <v>68099</v>
      </c>
      <c r="C130" s="27">
        <v>43390</v>
      </c>
      <c r="D130" s="28">
        <v>8020</v>
      </c>
      <c r="E130" s="32">
        <v>104</v>
      </c>
      <c r="F130" s="30"/>
      <c r="G130" s="30">
        <v>120</v>
      </c>
      <c r="H130" s="29">
        <v>1440</v>
      </c>
    </row>
    <row r="131" spans="1:8" x14ac:dyDescent="0.25">
      <c r="A131" t="s">
        <v>28</v>
      </c>
      <c r="B131" s="31">
        <v>68099</v>
      </c>
      <c r="C131" s="27">
        <v>43390</v>
      </c>
      <c r="D131" s="28">
        <v>8020</v>
      </c>
      <c r="E131" s="32">
        <v>105</v>
      </c>
      <c r="F131" s="30">
        <v>2</v>
      </c>
      <c r="G131" s="30">
        <v>140</v>
      </c>
      <c r="H131" s="29">
        <v>1400</v>
      </c>
    </row>
    <row r="132" spans="1:8" x14ac:dyDescent="0.25">
      <c r="A132" t="s">
        <v>28</v>
      </c>
      <c r="B132" s="31">
        <v>68099</v>
      </c>
      <c r="C132" s="27">
        <v>43390</v>
      </c>
      <c r="D132" s="28">
        <v>8020</v>
      </c>
      <c r="E132" s="32">
        <v>107</v>
      </c>
      <c r="F132" s="30"/>
      <c r="G132" s="30">
        <v>170</v>
      </c>
      <c r="H132" s="29">
        <v>850</v>
      </c>
    </row>
    <row r="133" spans="1:8" x14ac:dyDescent="0.25">
      <c r="A133" t="s">
        <v>28</v>
      </c>
      <c r="B133" s="31">
        <v>68101</v>
      </c>
      <c r="C133" s="27">
        <v>43390</v>
      </c>
      <c r="D133" s="28">
        <v>8010</v>
      </c>
      <c r="E133" s="32">
        <v>104</v>
      </c>
      <c r="F133" s="30"/>
      <c r="G133" s="30">
        <v>190</v>
      </c>
      <c r="H133" s="29">
        <v>2280</v>
      </c>
    </row>
    <row r="134" spans="1:8" x14ac:dyDescent="0.25">
      <c r="A134" t="s">
        <v>28</v>
      </c>
      <c r="B134" s="31">
        <v>68101</v>
      </c>
      <c r="C134" s="27">
        <v>43390</v>
      </c>
      <c r="D134" s="28">
        <v>8010</v>
      </c>
      <c r="E134" s="32">
        <v>105</v>
      </c>
      <c r="F134" s="30"/>
      <c r="G134" s="30">
        <v>140</v>
      </c>
      <c r="H134" s="29">
        <v>1400</v>
      </c>
    </row>
    <row r="135" spans="1:8" x14ac:dyDescent="0.25">
      <c r="A135" t="s">
        <v>28</v>
      </c>
      <c r="B135" s="31">
        <v>65627</v>
      </c>
      <c r="C135" s="27">
        <v>43394</v>
      </c>
      <c r="D135" s="28">
        <v>8020</v>
      </c>
      <c r="E135" s="32">
        <v>103</v>
      </c>
      <c r="F135" s="30"/>
      <c r="G135" s="30">
        <v>140</v>
      </c>
      <c r="H135" s="29">
        <v>1680</v>
      </c>
    </row>
    <row r="136" spans="1:8" x14ac:dyDescent="0.25">
      <c r="A136" t="s">
        <v>28</v>
      </c>
      <c r="B136" s="31">
        <v>65627</v>
      </c>
      <c r="C136" s="27">
        <v>43394</v>
      </c>
      <c r="D136" s="28">
        <v>8020</v>
      </c>
      <c r="E136" s="32">
        <v>104</v>
      </c>
      <c r="F136" s="30">
        <v>3</v>
      </c>
      <c r="G136" s="30">
        <v>160</v>
      </c>
      <c r="H136" s="29">
        <v>1920</v>
      </c>
    </row>
    <row r="137" spans="1:8" x14ac:dyDescent="0.25">
      <c r="A137" t="s">
        <v>28</v>
      </c>
      <c r="B137" s="31">
        <v>65629</v>
      </c>
      <c r="C137" s="27">
        <v>43394</v>
      </c>
      <c r="D137" s="28">
        <v>8010</v>
      </c>
      <c r="E137" s="32">
        <v>103</v>
      </c>
      <c r="F137" s="30"/>
      <c r="G137" s="30">
        <v>190</v>
      </c>
      <c r="H137" s="29">
        <v>2280</v>
      </c>
    </row>
    <row r="138" spans="1:8" x14ac:dyDescent="0.25">
      <c r="A138" t="s">
        <v>28</v>
      </c>
      <c r="B138" s="31">
        <v>65629</v>
      </c>
      <c r="C138" s="27">
        <v>43394</v>
      </c>
      <c r="D138" s="28">
        <v>8010</v>
      </c>
      <c r="E138" s="32">
        <v>104</v>
      </c>
      <c r="F138" s="30"/>
      <c r="G138" s="30">
        <v>130</v>
      </c>
      <c r="H138" s="29">
        <v>1560</v>
      </c>
    </row>
    <row r="139" spans="1:8" x14ac:dyDescent="0.25">
      <c r="A139" t="s">
        <v>28</v>
      </c>
      <c r="B139" s="31">
        <v>65629</v>
      </c>
      <c r="C139" s="27">
        <v>43394</v>
      </c>
      <c r="D139" s="28">
        <v>8010</v>
      </c>
      <c r="E139" s="32">
        <v>105</v>
      </c>
      <c r="F139" s="30"/>
      <c r="G139" s="30">
        <v>140</v>
      </c>
      <c r="H139" s="29">
        <v>1400</v>
      </c>
    </row>
    <row r="140" spans="1:8" x14ac:dyDescent="0.25">
      <c r="A140" t="s">
        <v>28</v>
      </c>
      <c r="B140" s="31">
        <v>65631</v>
      </c>
      <c r="C140" s="27">
        <v>43394</v>
      </c>
      <c r="D140" s="28">
        <v>8020</v>
      </c>
      <c r="E140" s="32">
        <v>107</v>
      </c>
      <c r="F140" s="30"/>
      <c r="G140" s="30">
        <v>190</v>
      </c>
      <c r="H140" s="29">
        <v>950</v>
      </c>
    </row>
    <row r="141" spans="1:8" x14ac:dyDescent="0.25">
      <c r="A141" t="s">
        <v>28</v>
      </c>
      <c r="B141" s="31">
        <v>65631</v>
      </c>
      <c r="C141" s="27">
        <v>43394</v>
      </c>
      <c r="D141" s="28">
        <v>8020</v>
      </c>
      <c r="E141" s="32">
        <v>103</v>
      </c>
      <c r="F141" s="33"/>
      <c r="G141" s="30">
        <v>120</v>
      </c>
      <c r="H141" s="29">
        <v>1440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p"/>
  <dimension ref="A1:L68"/>
  <sheetViews>
    <sheetView showGridLines="0" workbookViewId="0">
      <selection activeCell="E22" sqref="E22"/>
    </sheetView>
  </sheetViews>
  <sheetFormatPr defaultRowHeight="13.2" x14ac:dyDescent="0.25"/>
  <cols>
    <col min="1" max="1" width="8.77734375" customWidth="1"/>
    <col min="2" max="2" width="21.77734375" customWidth="1"/>
    <col min="3" max="3" width="19.21875" customWidth="1"/>
    <col min="4" max="4" width="15.109375" customWidth="1"/>
    <col min="6" max="6" width="29.88671875" customWidth="1"/>
    <col min="7" max="7" width="13.77734375" customWidth="1"/>
    <col min="12" max="12" width="3.21875" customWidth="1"/>
    <col min="13" max="13" width="10" customWidth="1"/>
    <col min="14" max="14" width="22.5546875" customWidth="1"/>
  </cols>
  <sheetData>
    <row r="1" spans="1:12" x14ac:dyDescent="0.25">
      <c r="A1" s="2"/>
      <c r="B1" s="2"/>
      <c r="C1" s="2"/>
      <c r="D1" s="2"/>
      <c r="E1" s="2"/>
      <c r="F1" s="2"/>
      <c r="G1" s="2"/>
      <c r="H1" s="2"/>
      <c r="I1" s="2"/>
      <c r="J1" s="2"/>
      <c r="L1" s="22"/>
    </row>
    <row r="2" spans="1:12" ht="13.8" x14ac:dyDescent="0.25">
      <c r="A2" s="3"/>
      <c r="B2" s="3" t="s">
        <v>24</v>
      </c>
      <c r="C2" s="3"/>
      <c r="D2" s="3"/>
      <c r="E2" s="3"/>
      <c r="F2" s="3"/>
      <c r="G2" s="3"/>
      <c r="H2" s="3"/>
      <c r="I2" s="3"/>
      <c r="J2" s="3"/>
    </row>
    <row r="3" spans="1:12" ht="13.8" x14ac:dyDescent="0.25">
      <c r="A3" s="3"/>
      <c r="B3" s="3" t="s">
        <v>25</v>
      </c>
      <c r="C3" s="3"/>
      <c r="D3" s="3"/>
      <c r="E3" s="3"/>
      <c r="F3" s="3"/>
      <c r="G3" s="3"/>
      <c r="H3" s="3"/>
      <c r="I3" s="3"/>
      <c r="J3" s="3"/>
    </row>
    <row r="4" spans="1:12" x14ac:dyDescent="0.25">
      <c r="A4" s="2"/>
      <c r="B4" s="2"/>
      <c r="C4" s="2"/>
      <c r="D4" s="2"/>
      <c r="E4" s="2"/>
      <c r="F4" s="2"/>
      <c r="G4" s="2"/>
      <c r="H4" s="2"/>
      <c r="I4" s="2"/>
      <c r="J4" s="2"/>
    </row>
    <row r="6" spans="1:12" x14ac:dyDescent="0.25">
      <c r="A6" s="4" t="s">
        <v>27</v>
      </c>
      <c r="B6" s="4"/>
      <c r="C6" s="4"/>
      <c r="D6" s="4"/>
      <c r="E6" s="4"/>
      <c r="F6" s="4"/>
      <c r="G6" s="4"/>
      <c r="H6" s="4"/>
      <c r="I6" s="4"/>
      <c r="J6" s="4"/>
    </row>
    <row r="8" spans="1:12" ht="26.25" customHeight="1" x14ac:dyDescent="0.25">
      <c r="B8" s="5" t="s">
        <v>50</v>
      </c>
      <c r="C8" s="6" t="s">
        <v>35</v>
      </c>
      <c r="D8" s="6" t="s">
        <v>3</v>
      </c>
      <c r="E8" s="6" t="s">
        <v>53</v>
      </c>
      <c r="G8" s="6" t="s">
        <v>58</v>
      </c>
    </row>
    <row r="9" spans="1:12" x14ac:dyDescent="0.25">
      <c r="B9" t="s">
        <v>28</v>
      </c>
      <c r="C9" t="s">
        <v>32</v>
      </c>
      <c r="D9" t="s">
        <v>1</v>
      </c>
      <c r="E9" t="s">
        <v>54</v>
      </c>
      <c r="G9" t="s">
        <v>54</v>
      </c>
    </row>
    <row r="10" spans="1:12" x14ac:dyDescent="0.25">
      <c r="B10" t="s">
        <v>29</v>
      </c>
      <c r="C10" t="s">
        <v>46</v>
      </c>
      <c r="D10" t="s">
        <v>1</v>
      </c>
      <c r="E10" t="s">
        <v>54</v>
      </c>
      <c r="G10" t="s">
        <v>55</v>
      </c>
    </row>
    <row r="11" spans="1:12" x14ac:dyDescent="0.25">
      <c r="B11" t="s">
        <v>30</v>
      </c>
      <c r="C11" t="s">
        <v>34</v>
      </c>
      <c r="D11" t="s">
        <v>38</v>
      </c>
      <c r="E11" t="s">
        <v>55</v>
      </c>
    </row>
    <row r="12" spans="1:12" x14ac:dyDescent="0.25">
      <c r="B12" t="s">
        <v>31</v>
      </c>
      <c r="C12" t="s">
        <v>33</v>
      </c>
      <c r="D12" t="s">
        <v>38</v>
      </c>
      <c r="E12" t="s">
        <v>55</v>
      </c>
    </row>
    <row r="14" spans="1:12" x14ac:dyDescent="0.25">
      <c r="A14" s="4" t="s">
        <v>36</v>
      </c>
      <c r="B14" s="4"/>
      <c r="C14" s="4"/>
      <c r="D14" s="4"/>
      <c r="E14" s="4"/>
      <c r="F14" s="4"/>
      <c r="G14" s="4"/>
      <c r="H14" s="4"/>
      <c r="I14" s="4"/>
      <c r="J14" s="4"/>
    </row>
    <row r="16" spans="1:12" ht="13.8" x14ac:dyDescent="0.25">
      <c r="B16" s="5" t="s">
        <v>49</v>
      </c>
      <c r="C16" s="6" t="s">
        <v>44</v>
      </c>
    </row>
    <row r="17" spans="1:10" x14ac:dyDescent="0.25">
      <c r="B17">
        <v>8010</v>
      </c>
      <c r="C17" t="s">
        <v>45</v>
      </c>
    </row>
    <row r="18" spans="1:10" x14ac:dyDescent="0.25">
      <c r="B18">
        <v>8020</v>
      </c>
      <c r="C18" t="s">
        <v>47</v>
      </c>
    </row>
    <row r="19" spans="1:10" x14ac:dyDescent="0.25">
      <c r="B19">
        <v>8030</v>
      </c>
      <c r="C19" t="s">
        <v>48</v>
      </c>
    </row>
    <row r="20" spans="1:10" ht="22.2" customHeight="1" x14ac:dyDescent="0.25">
      <c r="B20">
        <v>8040</v>
      </c>
      <c r="C20" t="s">
        <v>59</v>
      </c>
    </row>
    <row r="21" spans="1:10" ht="17.399999999999999" customHeight="1" x14ac:dyDescent="0.25">
      <c r="B21">
        <v>8050</v>
      </c>
      <c r="C21" t="s">
        <v>60</v>
      </c>
    </row>
    <row r="22" spans="1:10" x14ac:dyDescent="0.25">
      <c r="B22">
        <v>8060</v>
      </c>
      <c r="C22" t="s">
        <v>61</v>
      </c>
    </row>
    <row r="24" spans="1:10" x14ac:dyDescent="0.25">
      <c r="A24" s="4" t="s">
        <v>26</v>
      </c>
      <c r="B24" s="4"/>
      <c r="C24" s="4"/>
      <c r="D24" s="4"/>
      <c r="E24" s="4"/>
      <c r="F24" s="4"/>
      <c r="G24" s="4"/>
      <c r="H24" s="4"/>
      <c r="I24" s="4"/>
      <c r="J24" s="4"/>
    </row>
    <row r="26" spans="1:10" ht="13.8" x14ac:dyDescent="0.25">
      <c r="B26" s="5" t="s">
        <v>52</v>
      </c>
      <c r="C26" s="6" t="s">
        <v>0</v>
      </c>
    </row>
    <row r="27" spans="1:10" x14ac:dyDescent="0.25">
      <c r="B27" s="1">
        <v>101</v>
      </c>
      <c r="C27" t="s">
        <v>6</v>
      </c>
      <c r="F27" s="1"/>
    </row>
    <row r="28" spans="1:10" x14ac:dyDescent="0.25">
      <c r="B28" s="1">
        <v>102</v>
      </c>
      <c r="C28" t="s">
        <v>7</v>
      </c>
      <c r="F28" s="1"/>
    </row>
    <row r="29" spans="1:10" x14ac:dyDescent="0.25">
      <c r="B29" s="1">
        <v>103</v>
      </c>
      <c r="C29" t="s">
        <v>8</v>
      </c>
      <c r="F29" s="1"/>
    </row>
    <row r="30" spans="1:10" x14ac:dyDescent="0.25">
      <c r="B30" s="1">
        <v>104</v>
      </c>
      <c r="C30" t="s">
        <v>9</v>
      </c>
      <c r="F30" s="1"/>
    </row>
    <row r="31" spans="1:10" x14ac:dyDescent="0.25">
      <c r="B31" s="1">
        <v>105</v>
      </c>
      <c r="C31" t="s">
        <v>4</v>
      </c>
      <c r="F31" s="1"/>
    </row>
    <row r="32" spans="1:10" x14ac:dyDescent="0.25">
      <c r="B32" s="1">
        <v>106</v>
      </c>
      <c r="C32" t="s">
        <v>5</v>
      </c>
      <c r="F32" s="1"/>
    </row>
    <row r="33" spans="1:6" x14ac:dyDescent="0.25">
      <c r="B33" s="1">
        <v>107</v>
      </c>
      <c r="C33" t="s">
        <v>10</v>
      </c>
      <c r="F33" s="1"/>
    </row>
    <row r="34" spans="1:6" x14ac:dyDescent="0.25">
      <c r="B34" s="1">
        <v>108</v>
      </c>
      <c r="C34" t="s">
        <v>11</v>
      </c>
      <c r="F34" s="1"/>
    </row>
    <row r="35" spans="1:6" x14ac:dyDescent="0.25">
      <c r="B35" s="1">
        <v>109</v>
      </c>
      <c r="C35" t="s">
        <v>12</v>
      </c>
      <c r="F35" s="1"/>
    </row>
    <row r="36" spans="1:6" x14ac:dyDescent="0.25">
      <c r="B36" s="1">
        <v>110</v>
      </c>
      <c r="C36" t="s">
        <v>13</v>
      </c>
      <c r="F36" s="1"/>
    </row>
    <row r="37" spans="1:6" x14ac:dyDescent="0.25">
      <c r="B37" s="1">
        <v>111</v>
      </c>
      <c r="C37" t="s">
        <v>14</v>
      </c>
      <c r="F37" s="1"/>
    </row>
    <row r="38" spans="1:6" x14ac:dyDescent="0.25">
      <c r="B38" s="1">
        <v>112</v>
      </c>
      <c r="C38" t="s">
        <v>15</v>
      </c>
      <c r="F38" s="1"/>
    </row>
    <row r="39" spans="1:6" x14ac:dyDescent="0.25">
      <c r="B39" s="1">
        <v>113</v>
      </c>
      <c r="C39" t="s">
        <v>16</v>
      </c>
      <c r="F39" s="1"/>
    </row>
    <row r="40" spans="1:6" x14ac:dyDescent="0.25">
      <c r="B40" s="1">
        <v>114</v>
      </c>
      <c r="C40" t="s">
        <v>17</v>
      </c>
      <c r="F40" s="1"/>
    </row>
    <row r="41" spans="1:6" x14ac:dyDescent="0.25">
      <c r="B41" s="1">
        <v>115</v>
      </c>
      <c r="C41" t="s">
        <v>18</v>
      </c>
      <c r="F41" s="1"/>
    </row>
    <row r="42" spans="1:6" x14ac:dyDescent="0.25">
      <c r="B42" s="1">
        <v>116</v>
      </c>
      <c r="C42" t="s">
        <v>19</v>
      </c>
      <c r="F42" s="1"/>
    </row>
    <row r="43" spans="1:6" x14ac:dyDescent="0.25">
      <c r="B43" s="1">
        <v>117</v>
      </c>
      <c r="C43" t="s">
        <v>20</v>
      </c>
      <c r="F43" s="1"/>
    </row>
    <row r="44" spans="1:6" x14ac:dyDescent="0.25">
      <c r="B44" s="1">
        <v>118</v>
      </c>
      <c r="C44" t="s">
        <v>21</v>
      </c>
      <c r="F44" s="1"/>
    </row>
    <row r="45" spans="1:6" x14ac:dyDescent="0.25">
      <c r="B45" s="1">
        <v>119</v>
      </c>
      <c r="C45" t="s">
        <v>22</v>
      </c>
      <c r="F45" s="1"/>
    </row>
    <row r="46" spans="1:6" x14ac:dyDescent="0.25">
      <c r="B46" s="1">
        <v>120</v>
      </c>
      <c r="C46" t="s">
        <v>23</v>
      </c>
      <c r="F46" s="1"/>
    </row>
    <row r="47" spans="1:6" x14ac:dyDescent="0.25">
      <c r="A47" s="1"/>
    </row>
    <row r="48" spans="1:6" x14ac:dyDescent="0.25">
      <c r="A48" s="1"/>
    </row>
    <row r="50" spans="1:10" x14ac:dyDescent="0.25">
      <c r="A50" s="4" t="s">
        <v>81</v>
      </c>
      <c r="B50" s="4"/>
      <c r="C50" s="4"/>
      <c r="D50" s="4"/>
      <c r="E50" s="4"/>
      <c r="F50" s="4"/>
      <c r="G50" s="4"/>
      <c r="H50" s="4"/>
      <c r="I50" s="4"/>
      <c r="J50" s="4"/>
    </row>
    <row r="52" spans="1:10" ht="13.8" x14ac:dyDescent="0.25">
      <c r="B52" s="5" t="s">
        <v>37</v>
      </c>
      <c r="C52" s="6" t="s">
        <v>51</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Start</vt:lpstr>
      <vt:lpstr>Workings</vt:lpstr>
      <vt:lpstr>NewData</vt:lpstr>
      <vt:lpstr>Mapping</vt:lpstr>
      <vt:lpstr>MRegion</vt:lpstr>
      <vt:lpstr>period</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Chuchu Xiong</cp:lastModifiedBy>
  <dcterms:created xsi:type="dcterms:W3CDTF">2017-10-02T07:41:32Z</dcterms:created>
  <dcterms:modified xsi:type="dcterms:W3CDTF">2023-05-26T05:06:27Z</dcterms:modified>
</cp:coreProperties>
</file>